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ЗАКАЗЫ" sheetId="1" state="visible" r:id="rId1"/>
    <sheet name="МЕНЮ" sheetId="2" state="visible" r:id="rId2"/>
    <sheet name="ИНГРЕДИЕНТЫ" sheetId="3" state="visible" r:id="rId3"/>
    <sheet name="РЕЦЕПТЫ" sheetId="4" state="visible" r:id="rId4"/>
    <sheet name="ФУДКОСТ" sheetId="5" state="visible" r:id="rId5"/>
    <sheet name="P&amp;L" sheetId="6" state="visible" r:id="rId6"/>
    <sheet name="ABC_АНАЛИЗ" sheetId="7" state="visible" r:id="rId7"/>
    <sheet name="КАТЕГОРИИ" sheetId="8" state="visible" r:id="rId8"/>
    <sheet name="ПОДКАТЕГОРИИ" sheetId="9" state="visible" r:id="rId9"/>
    <sheet name="КАТЕГОРИИ_ПОЛНАЯ" sheetId="10" state="visible" r:id="rId10"/>
    <sheet name="ПЕРСОНАЛ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Дата</t>
        </is>
      </c>
      <c r="B1" t="inlineStr">
        <is>
          <t>Время</t>
        </is>
      </c>
      <c r="C1" t="inlineStr">
        <is>
          <t>Столик</t>
        </is>
      </c>
      <c r="D1" t="inlineStr">
        <is>
          <t>Гости</t>
        </is>
      </c>
      <c r="E1" t="inlineStr">
        <is>
          <t>Официант</t>
        </is>
      </c>
      <c r="F1" t="inlineStr">
        <is>
          <t>Блюда</t>
        </is>
      </c>
      <c r="G1" t="inlineStr">
        <is>
          <t>Сумма (₸)</t>
        </is>
      </c>
      <c r="H1" t="inlineStr">
        <is>
          <t>Оплата</t>
        </is>
      </c>
      <c r="I1" t="inlineStr">
        <is>
          <t>Примечание</t>
        </is>
      </c>
    </row>
    <row r="2">
      <c r="A2" t="inlineStr">
        <is>
          <t>10.06.2026</t>
        </is>
      </c>
      <c r="B2" t="inlineStr">
        <is>
          <t>10:30</t>
        </is>
      </c>
      <c r="C2" t="n">
        <v>3</v>
      </c>
      <c r="D2" t="n">
        <v>2</v>
      </c>
      <c r="E2" t="inlineStr">
        <is>
          <t>Анна</t>
        </is>
      </c>
      <c r="F2" t="inlineStr">
        <is>
          <t>Капучино, Чизкейк</t>
        </is>
      </c>
      <c r="G2" t="n">
        <v>650</v>
      </c>
      <c r="H2" t="inlineStr">
        <is>
          <t>Карта</t>
        </is>
      </c>
      <c r="I2" t="inlineStr"/>
    </row>
    <row r="3">
      <c r="A3" t="inlineStr">
        <is>
          <t>10.06.2026</t>
        </is>
      </c>
      <c r="B3" t="inlineStr">
        <is>
          <t>13:15</t>
        </is>
      </c>
      <c r="C3" t="n">
        <v>5</v>
      </c>
      <c r="D3" t="n">
        <v>4</v>
      </c>
      <c r="E3" t="inlineStr">
        <is>
          <t>Иван</t>
        </is>
      </c>
      <c r="F3" t="inlineStr">
        <is>
          <t>2x Пицца, 3x Чай</t>
        </is>
      </c>
      <c r="G3" t="n">
        <v>2450</v>
      </c>
      <c r="H3" t="inlineStr">
        <is>
          <t>Наличные</t>
        </is>
      </c>
      <c r="I3" t="inlineStr"/>
    </row>
    <row r="4">
      <c r="A4" t="inlineStr">
        <is>
          <t>10.06.2026</t>
        </is>
      </c>
      <c r="B4" t="inlineStr">
        <is>
          <t>14:00</t>
        </is>
      </c>
      <c r="C4" t="n">
        <v>1</v>
      </c>
      <c r="D4" t="n">
        <v>1</v>
      </c>
      <c r="E4" t="inlineStr">
        <is>
          <t>Анна</t>
        </is>
      </c>
      <c r="F4" t="inlineStr">
        <is>
          <t>Суп, Хлеб</t>
        </is>
      </c>
      <c r="G4" t="n">
        <v>380</v>
      </c>
      <c r="H4" t="inlineStr">
        <is>
          <t>Карта</t>
        </is>
      </c>
      <c r="I4" t="inlineStr"/>
    </row>
    <row r="5">
      <c r="A5" t="inlineStr">
        <is>
          <t>10.06.2026</t>
        </is>
      </c>
      <c r="B5" t="inlineStr">
        <is>
          <t>17:30</t>
        </is>
      </c>
      <c r="C5" t="n">
        <v>2</v>
      </c>
      <c r="D5" t="n">
        <v>2</v>
      </c>
      <c r="E5" t="inlineStr">
        <is>
          <t>Иван</t>
        </is>
      </c>
      <c r="F5" t="inlineStr">
        <is>
          <t>Латте, Круассан</t>
        </is>
      </c>
      <c r="G5" t="n">
        <v>520</v>
      </c>
      <c r="H5" t="inlineStr">
        <is>
          <t>Карта</t>
        </is>
      </c>
      <c r="I5" t="inlineStr"/>
    </row>
    <row r="6">
      <c r="A6" t="inlineStr">
        <is>
          <t>10.06.2026</t>
        </is>
      </c>
      <c r="B6" t="inlineStr">
        <is>
          <t>18:45</t>
        </is>
      </c>
      <c r="C6" t="n">
        <v>4</v>
      </c>
      <c r="D6" t="n">
        <v>3</v>
      </c>
      <c r="E6" t="inlineStr">
        <is>
          <t>Анна</t>
        </is>
      </c>
      <c r="F6" t="inlineStr">
        <is>
          <t>2x Пицца, 2x Чай</t>
        </is>
      </c>
      <c r="G6" t="n">
        <v>2450</v>
      </c>
      <c r="H6" t="inlineStr">
        <is>
          <t>Наличные</t>
        </is>
      </c>
      <c r="I6" t="inlineStr"/>
    </row>
    <row r="7">
      <c r="A7" t="inlineStr">
        <is>
          <t>ИТОГО за день: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Средний чек: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10.06.2026</t>
        </is>
      </c>
      <c r="B9" t="inlineStr">
        <is>
          <t>11:57</t>
        </is>
      </c>
      <c r="C9" t="n">
        <v>1</v>
      </c>
      <c r="D9" t="n">
        <v>2</v>
      </c>
      <c r="E9" t="inlineStr">
        <is>
          <t>Анна</t>
        </is>
      </c>
      <c r="F9" t="inlineStr">
        <is>
          <t>Чизкейк</t>
        </is>
      </c>
      <c r="G9" t="n">
        <v>350</v>
      </c>
      <c r="H9" t="inlineStr">
        <is>
          <t>Наличные</t>
        </is>
      </c>
      <c r="I9" t="inlineStr"/>
    </row>
    <row r="10">
      <c r="A10" t="inlineStr">
        <is>
          <t>10.06.2026</t>
        </is>
      </c>
      <c r="B10" t="inlineStr">
        <is>
          <t>12:35</t>
        </is>
      </c>
      <c r="C10" t="n">
        <v>10</v>
      </c>
      <c r="D10" t="n">
        <v>5</v>
      </c>
      <c r="E10" t="inlineStr">
        <is>
          <t>Иван</t>
        </is>
      </c>
      <c r="F10" t="inlineStr">
        <is>
          <t>Хлеб, Латте, Чизкейк, Капучино</t>
        </is>
      </c>
      <c r="G10" t="n">
        <v>1000</v>
      </c>
      <c r="H10" t="inlineStr">
        <is>
          <t>Наличные</t>
        </is>
      </c>
      <c r="I10" t="inlineStr"/>
    </row>
    <row r="11">
      <c r="A11" t="inlineStr">
        <is>
          <t>17.06.2026</t>
        </is>
      </c>
      <c r="B11" t="inlineStr">
        <is>
          <t>12:44</t>
        </is>
      </c>
      <c r="C11" t="n">
        <v>1</v>
      </c>
      <c r="D11" t="n">
        <v>2</v>
      </c>
      <c r="E11" t="inlineStr">
        <is>
          <t>Сергей</t>
        </is>
      </c>
      <c r="F11" t="inlineStr">
        <is>
          <t>Капучино, Пицца Маргарита, Суп куриный, Хлеб, Чизкейк, Латте, Круассан, Чай</t>
        </is>
      </c>
      <c r="G11" t="n">
        <v>2130</v>
      </c>
      <c r="H11" t="inlineStr">
        <is>
          <t>Наличные</t>
        </is>
      </c>
      <c r="I11" t="inlineStr"/>
    </row>
    <row r="12">
      <c r="A12" t="inlineStr">
        <is>
          <t>10.06.2026</t>
        </is>
      </c>
      <c r="B12" t="inlineStr">
        <is>
          <t>13:15</t>
        </is>
      </c>
      <c r="C12" t="n">
        <v>1</v>
      </c>
      <c r="D12" t="n">
        <v>2</v>
      </c>
      <c r="E12" t="inlineStr">
        <is>
          <t>Анна</t>
        </is>
      </c>
      <c r="F12" t="inlineStr">
        <is>
          <t>Капучино, Чизкейк, Пицца Маргарита</t>
        </is>
      </c>
      <c r="G12" t="n">
        <v>1150</v>
      </c>
      <c r="H12" t="inlineStr">
        <is>
          <t>Наличные</t>
        </is>
      </c>
      <c r="I12" t="inlineStr"/>
    </row>
    <row r="13">
      <c r="A13" t="inlineStr">
        <is>
          <t>10.06.2026</t>
        </is>
      </c>
      <c r="B13" t="inlineStr">
        <is>
          <t>16:24</t>
        </is>
      </c>
      <c r="C13" t="n">
        <v>1</v>
      </c>
      <c r="D13" t="n">
        <v>2</v>
      </c>
      <c r="E13" t="inlineStr">
        <is>
          <t>Мярт</t>
        </is>
      </c>
      <c r="F13" t="inlineStr">
        <is>
          <t>Латте, Капучино, Суп куриный</t>
        </is>
      </c>
      <c r="G13" t="n">
        <v>830</v>
      </c>
      <c r="H13" t="inlineStr">
        <is>
          <t>Наличные</t>
        </is>
      </c>
      <c r="I1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Блюдо</t>
        </is>
      </c>
      <c r="B1" t="inlineStr">
        <is>
          <t>Категория</t>
        </is>
      </c>
      <c r="C1" t="inlineStr">
        <is>
          <t>Ингредиенты</t>
        </is>
      </c>
      <c r="D1" t="inlineStr">
        <is>
          <t>Себестоимость (₸)</t>
        </is>
      </c>
      <c r="E1" t="inlineStr">
        <is>
          <t>Цена продажи (₸)</t>
        </is>
      </c>
      <c r="F1" t="inlineStr">
        <is>
          <t>Маржинальность (%)</t>
        </is>
      </c>
    </row>
    <row r="2">
      <c r="A2" t="inlineStr">
        <is>
          <t>Капучино</t>
        </is>
      </c>
      <c r="B2" t="inlineStr">
        <is>
          <t>Напитки</t>
        </is>
      </c>
      <c r="C2" t="inlineStr">
        <is>
          <t>Кофе, молоко</t>
        </is>
      </c>
      <c r="D2" t="n">
        <v>80</v>
      </c>
      <c r="E2" t="n">
        <v>250</v>
      </c>
      <c r="F2" t="n">
        <v>68</v>
      </c>
    </row>
    <row r="3">
      <c r="A3" t="inlineStr">
        <is>
          <t>Чизкейк</t>
        </is>
      </c>
      <c r="B3" t="inlineStr">
        <is>
          <t>Десерты</t>
        </is>
      </c>
      <c r="C3" t="inlineStr">
        <is>
          <t>Сыр, печенье</t>
        </is>
      </c>
      <c r="D3" t="n">
        <v>120</v>
      </c>
      <c r="E3" t="n">
        <v>350</v>
      </c>
      <c r="F3" t="n">
        <v>65.71428571428571</v>
      </c>
    </row>
    <row r="4">
      <c r="A4" t="inlineStr">
        <is>
          <t>Пицца Маргарита</t>
        </is>
      </c>
      <c r="B4" t="inlineStr">
        <is>
          <t>Пицца</t>
        </is>
      </c>
      <c r="C4" t="inlineStr">
        <is>
          <t>Тесто, соус, сыр</t>
        </is>
      </c>
      <c r="D4" t="n">
        <v>156</v>
      </c>
      <c r="E4" t="n">
        <v>550</v>
      </c>
      <c r="F4" t="n">
        <v>71.63636363636363</v>
      </c>
    </row>
    <row r="5">
      <c r="A5" t="inlineStr">
        <is>
          <t>Суп куриный</t>
        </is>
      </c>
      <c r="B5" t="inlineStr">
        <is>
          <t>Первые блюда</t>
        </is>
      </c>
      <c r="C5" t="inlineStr">
        <is>
          <t>Курица, овощи</t>
        </is>
      </c>
      <c r="D5" t="n">
        <v>70</v>
      </c>
      <c r="E5" t="n">
        <v>280</v>
      </c>
      <c r="F5" t="n">
        <v>75</v>
      </c>
    </row>
    <row r="6">
      <c r="A6" t="inlineStr">
        <is>
          <t>Хлеб</t>
        </is>
      </c>
      <c r="B6" t="inlineStr">
        <is>
          <t>Выпечка</t>
        </is>
      </c>
      <c r="C6" t="inlineStr">
        <is>
          <t>Мука, дрожжи</t>
        </is>
      </c>
      <c r="D6" t="n">
        <v>25</v>
      </c>
      <c r="E6" t="n">
        <v>100</v>
      </c>
      <c r="F6" t="n">
        <v>75</v>
      </c>
    </row>
    <row r="7">
      <c r="A7" t="inlineStr">
        <is>
          <t>Латте</t>
        </is>
      </c>
      <c r="B7" t="inlineStr">
        <is>
          <t>Напитки</t>
        </is>
      </c>
      <c r="C7" t="inlineStr">
        <is>
          <t>Кофе, молоко</t>
        </is>
      </c>
      <c r="D7" t="n">
        <v>85</v>
      </c>
      <c r="E7" t="n">
        <v>300</v>
      </c>
      <c r="F7" t="n">
        <v>71.66666666666667</v>
      </c>
    </row>
    <row r="8">
      <c r="A8" t="inlineStr">
        <is>
          <t>Круассан</t>
        </is>
      </c>
      <c r="B8" t="inlineStr">
        <is>
          <t>Выпечка</t>
        </is>
      </c>
      <c r="C8" t="inlineStr">
        <is>
          <t>Мука, масло</t>
        </is>
      </c>
      <c r="D8" t="n">
        <v>55</v>
      </c>
      <c r="E8" t="n">
        <v>200</v>
      </c>
      <c r="F8" t="n">
        <v>72.5</v>
      </c>
    </row>
    <row r="9">
      <c r="A9" t="inlineStr">
        <is>
          <t>Чай</t>
        </is>
      </c>
      <c r="B9" t="inlineStr">
        <is>
          <t>Напитки</t>
        </is>
      </c>
      <c r="C9" t="inlineStr">
        <is>
          <t>Чай, вода</t>
        </is>
      </c>
      <c r="D9" t="n">
        <v>15</v>
      </c>
      <c r="E9" t="n">
        <v>100</v>
      </c>
      <c r="F9" t="n">
        <v>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4.4"/>
  <cols>
    <col width="12" customWidth="1" min="1" max="1"/>
    <col width="9" customWidth="1" min="2" max="3"/>
    <col width="12" customWidth="1" min="4" max="4"/>
    <col width="17" customWidth="1" min="5" max="5"/>
    <col width="25" customWidth="1" min="6" max="6"/>
  </cols>
  <sheetData>
    <row r="1" customFormat="1" s="1">
      <c r="A1" s="2" t="inlineStr">
        <is>
          <t>Ингредиент</t>
        </is>
      </c>
      <c r="B1" s="2" t="inlineStr">
        <is>
          <t>Единица</t>
        </is>
      </c>
      <c r="C1" s="2" t="inlineStr">
        <is>
          <t>Остаток</t>
        </is>
      </c>
      <c r="D1" s="2" t="inlineStr">
        <is>
          <t>Мин. запас</t>
        </is>
      </c>
      <c r="E1" s="2" t="inlineStr">
        <is>
          <t>Цена за ед. (₸)</t>
        </is>
      </c>
      <c r="F1" s="2" t="inlineStr">
        <is>
          <t>Нужно заказать?</t>
        </is>
      </c>
    </row>
    <row r="2">
      <c r="A2" s="2" t="inlineStr">
        <is>
          <t>Кофе</t>
        </is>
      </c>
      <c r="B2" s="2" t="inlineStr">
        <is>
          <t>г</t>
        </is>
      </c>
      <c r="C2" s="2" t="n">
        <v>5000</v>
      </c>
      <c r="D2" s="2" t="n">
        <v>1000</v>
      </c>
      <c r="E2" s="2" t="n">
        <v>0.5</v>
      </c>
      <c r="F2" s="2" t="inlineStr"/>
    </row>
    <row r="3">
      <c r="A3" s="2" t="inlineStr">
        <is>
          <t>Молоко</t>
        </is>
      </c>
      <c r="B3" s="2" t="inlineStr">
        <is>
          <t>л</t>
        </is>
      </c>
      <c r="C3" s="2" t="n">
        <v>20</v>
      </c>
      <c r="D3" s="2" t="n">
        <v>5</v>
      </c>
      <c r="E3" s="2" t="n">
        <v>300</v>
      </c>
      <c r="F3" s="2" t="inlineStr"/>
    </row>
    <row r="4">
      <c r="A4" s="2" t="inlineStr">
        <is>
          <t>Мука</t>
        </is>
      </c>
      <c r="B4" s="2" t="inlineStr">
        <is>
          <t>кг</t>
        </is>
      </c>
      <c r="C4" s="2" t="n">
        <v>15</v>
      </c>
      <c r="D4" s="2" t="n">
        <v>3</v>
      </c>
      <c r="E4" s="2" t="n">
        <v>150</v>
      </c>
      <c r="F4" s="2" t="inlineStr"/>
    </row>
    <row r="5">
      <c r="A5" s="2" t="inlineStr">
        <is>
          <t>Сыр</t>
        </is>
      </c>
      <c r="B5" s="2" t="inlineStr">
        <is>
          <t>кг</t>
        </is>
      </c>
      <c r="C5" s="2" t="n">
        <v>8</v>
      </c>
      <c r="D5" s="2" t="n">
        <v>2</v>
      </c>
      <c r="E5" s="2" t="n">
        <v>800</v>
      </c>
      <c r="F5" s="2" t="inlineStr"/>
    </row>
    <row r="6">
      <c r="A6" s="2" t="inlineStr">
        <is>
          <t>Курица</t>
        </is>
      </c>
      <c r="B6" s="2" t="inlineStr">
        <is>
          <t>кг</t>
        </is>
      </c>
      <c r="C6" s="2" t="n">
        <v>10</v>
      </c>
      <c r="D6" s="2" t="n">
        <v>2</v>
      </c>
      <c r="E6" s="2" t="n">
        <v>600</v>
      </c>
      <c r="F6" s="2" t="inlineStr"/>
    </row>
    <row r="7">
      <c r="A7" s="2" t="inlineStr">
        <is>
          <t>Овощи</t>
        </is>
      </c>
      <c r="B7" s="2" t="inlineStr">
        <is>
          <t>кг</t>
        </is>
      </c>
      <c r="C7" s="2" t="n">
        <v>12</v>
      </c>
      <c r="D7" s="2" t="n">
        <v>3</v>
      </c>
      <c r="E7" s="2" t="n">
        <v>200</v>
      </c>
      <c r="F7" s="2" t="inlineStr"/>
    </row>
    <row r="8">
      <c r="A8" s="2" t="inlineStr">
        <is>
          <t>Печенье</t>
        </is>
      </c>
      <c r="B8" s="2" t="inlineStr">
        <is>
          <t>кг</t>
        </is>
      </c>
      <c r="C8" s="2" t="n">
        <v>5</v>
      </c>
      <c r="D8" s="2" t="n">
        <v>1</v>
      </c>
      <c r="E8" s="2" t="n">
        <v>400</v>
      </c>
      <c r="F8" s="2" t="inlineStr"/>
    </row>
    <row r="9">
      <c r="A9" s="2" t="inlineStr">
        <is>
          <t>Масло</t>
        </is>
      </c>
      <c r="B9" s="2" t="inlineStr">
        <is>
          <t>кг</t>
        </is>
      </c>
      <c r="C9" s="2" t="n">
        <v>4</v>
      </c>
      <c r="D9" s="2" t="n">
        <v>1</v>
      </c>
      <c r="E9" s="2" t="n">
        <v>350</v>
      </c>
      <c r="F9" s="2" t="inlineStr"/>
    </row>
    <row r="10">
      <c r="A10" s="2" t="inlineStr">
        <is>
          <t>Дрожжи</t>
        </is>
      </c>
      <c r="B10" s="2" t="inlineStr">
        <is>
          <t>г</t>
        </is>
      </c>
      <c r="C10" s="2" t="n">
        <v>1000</v>
      </c>
      <c r="D10" s="2" t="n">
        <v>200</v>
      </c>
      <c r="E10" s="2" t="n">
        <v>0.3</v>
      </c>
      <c r="F10" s="2" t="inlineStr"/>
    </row>
    <row r="11">
      <c r="A11" s="2" t="inlineStr">
        <is>
          <t>Соус</t>
        </is>
      </c>
      <c r="B11" s="2" t="inlineStr">
        <is>
          <t>л</t>
        </is>
      </c>
      <c r="C11" s="2" t="n">
        <v>10</v>
      </c>
      <c r="D11" s="2" t="n">
        <v>2</v>
      </c>
      <c r="E11" s="2" t="n">
        <v>250</v>
      </c>
      <c r="F11" s="2" t="inlineStr"/>
    </row>
    <row r="12">
      <c r="A12" s="2" t="inlineStr">
        <is>
          <t>Чай</t>
        </is>
      </c>
      <c r="B12" s="2" t="inlineStr">
        <is>
          <t>г</t>
        </is>
      </c>
      <c r="C12" s="2" t="n">
        <v>3000</v>
      </c>
      <c r="D12" s="2" t="n">
        <v>500</v>
      </c>
      <c r="E12" s="2" t="n">
        <v>0.2</v>
      </c>
      <c r="F12" s="2" t="inlineStr"/>
    </row>
    <row r="13">
      <c r="A13" s="2" t="inlineStr">
        <is>
          <t>Сахар</t>
        </is>
      </c>
      <c r="B13" s="2" t="inlineStr">
        <is>
          <t>кг</t>
        </is>
      </c>
      <c r="C13" s="2" t="n">
        <v>8</v>
      </c>
      <c r="D13" s="2" t="n">
        <v>2</v>
      </c>
      <c r="E13" s="2" t="n">
        <v>120</v>
      </c>
      <c r="F13" s="2" t="inlineStr"/>
    </row>
    <row r="14">
      <c r="A14" t="inlineStr">
        <is>
          <t>изюм</t>
        </is>
      </c>
      <c r="B14" t="inlineStr">
        <is>
          <t>кг</t>
        </is>
      </c>
      <c r="C14" t="n">
        <v>10</v>
      </c>
      <c r="D14" t="n">
        <v>2</v>
      </c>
      <c r="E14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4.4"/>
  <cols>
    <col width="17" customWidth="1" min="1" max="1"/>
    <col width="12" customWidth="1" min="2" max="2"/>
    <col width="18" customWidth="1" min="3" max="3"/>
    <col width="9" customWidth="1" min="4" max="4"/>
  </cols>
  <sheetData>
    <row r="1" customFormat="1" s="1">
      <c r="A1" s="2" t="inlineStr">
        <is>
          <t>Блюдо</t>
        </is>
      </c>
      <c r="B1" s="2" t="inlineStr">
        <is>
          <t>Ингредиент</t>
        </is>
      </c>
      <c r="C1" s="2" t="inlineStr">
        <is>
          <t>Кол-во на порцию</t>
        </is>
      </c>
      <c r="D1" s="2" t="inlineStr">
        <is>
          <t>Единица</t>
        </is>
      </c>
    </row>
    <row r="2">
      <c r="A2" s="2" t="inlineStr">
        <is>
          <t>Капучино</t>
        </is>
      </c>
      <c r="B2" s="2" t="inlineStr">
        <is>
          <t>Кофе</t>
        </is>
      </c>
      <c r="C2" s="2" t="n">
        <v>10</v>
      </c>
      <c r="D2" s="2" t="inlineStr">
        <is>
          <t>г</t>
        </is>
      </c>
    </row>
    <row r="3">
      <c r="A3" s="2" t="inlineStr">
        <is>
          <t>Капучино</t>
        </is>
      </c>
      <c r="B3" s="2" t="inlineStr">
        <is>
          <t>Молоко</t>
        </is>
      </c>
      <c r="C3" s="2" t="n">
        <v>0.15</v>
      </c>
      <c r="D3" s="2" t="inlineStr">
        <is>
          <t>л</t>
        </is>
      </c>
    </row>
    <row r="4">
      <c r="A4" s="2" t="inlineStr">
        <is>
          <t>Капучино</t>
        </is>
      </c>
      <c r="B4" s="2" t="inlineStr">
        <is>
          <t>Сахар</t>
        </is>
      </c>
      <c r="C4" s="2" t="n">
        <v>5</v>
      </c>
      <c r="D4" s="2" t="inlineStr">
        <is>
          <t>г</t>
        </is>
      </c>
    </row>
    <row r="5">
      <c r="A5" s="2" t="inlineStr">
        <is>
          <t>Латте</t>
        </is>
      </c>
      <c r="B5" s="2" t="inlineStr">
        <is>
          <t>Кофе</t>
        </is>
      </c>
      <c r="C5" s="2" t="n">
        <v>10</v>
      </c>
      <c r="D5" s="2" t="inlineStr">
        <is>
          <t>г</t>
        </is>
      </c>
    </row>
    <row r="6">
      <c r="A6" s="2" t="inlineStr">
        <is>
          <t>Латте</t>
        </is>
      </c>
      <c r="B6" s="2" t="inlineStr">
        <is>
          <t>Молоко</t>
        </is>
      </c>
      <c r="C6" s="2" t="n">
        <v>0.2</v>
      </c>
      <c r="D6" s="2" t="inlineStr">
        <is>
          <t>л</t>
        </is>
      </c>
    </row>
    <row r="7">
      <c r="A7" s="2" t="inlineStr">
        <is>
          <t>Чай</t>
        </is>
      </c>
      <c r="B7" s="2" t="inlineStr">
        <is>
          <t>Чай</t>
        </is>
      </c>
      <c r="C7" s="2" t="n">
        <v>2</v>
      </c>
      <c r="D7" s="2" t="inlineStr">
        <is>
          <t>г</t>
        </is>
      </c>
    </row>
    <row r="8">
      <c r="A8" s="2" t="inlineStr">
        <is>
          <t>Чай</t>
        </is>
      </c>
      <c r="B8" s="2" t="inlineStr">
        <is>
          <t>Сахар</t>
        </is>
      </c>
      <c r="C8" s="2" t="n">
        <v>5</v>
      </c>
      <c r="D8" s="2" t="inlineStr">
        <is>
          <t>г</t>
        </is>
      </c>
    </row>
    <row r="9">
      <c r="A9" s="2" t="inlineStr">
        <is>
          <t>Пицца Маргарита</t>
        </is>
      </c>
      <c r="B9" s="2" t="inlineStr">
        <is>
          <t>Мука</t>
        </is>
      </c>
      <c r="C9" s="2" t="n">
        <v>0.2</v>
      </c>
      <c r="D9" s="2" t="inlineStr">
        <is>
          <t>кг</t>
        </is>
      </c>
    </row>
    <row r="10">
      <c r="A10" s="2" t="inlineStr">
        <is>
          <t>Пицца Маргарита</t>
        </is>
      </c>
      <c r="B10" s="2" t="inlineStr">
        <is>
          <t>Соус</t>
        </is>
      </c>
      <c r="C10" s="2" t="n">
        <v>0.05</v>
      </c>
      <c r="D10" s="2" t="inlineStr">
        <is>
          <t>л</t>
        </is>
      </c>
    </row>
    <row r="11">
      <c r="A11" s="2" t="inlineStr">
        <is>
          <t>Пицца Маргарита</t>
        </is>
      </c>
      <c r="B11" s="2" t="inlineStr">
        <is>
          <t>Сыр</t>
        </is>
      </c>
      <c r="C11" s="2" t="n">
        <v>0.1</v>
      </c>
      <c r="D11" s="2" t="inlineStr">
        <is>
          <t>кг</t>
        </is>
      </c>
    </row>
    <row r="12">
      <c r="A12" s="2" t="inlineStr">
        <is>
          <t>Суп куриный</t>
        </is>
      </c>
      <c r="B12" s="2" t="inlineStr">
        <is>
          <t>Курица</t>
        </is>
      </c>
      <c r="C12" s="2" t="n">
        <v>0.15</v>
      </c>
      <c r="D12" s="2" t="inlineStr">
        <is>
          <t>кг</t>
        </is>
      </c>
    </row>
    <row r="13">
      <c r="A13" s="2" t="inlineStr">
        <is>
          <t>Суп куриный</t>
        </is>
      </c>
      <c r="B13" s="2" t="inlineStr">
        <is>
          <t>Овощи</t>
        </is>
      </c>
      <c r="C13" s="2" t="n">
        <v>0.2</v>
      </c>
      <c r="D13" s="2" t="inlineStr">
        <is>
          <t>кг</t>
        </is>
      </c>
    </row>
    <row r="14">
      <c r="A14" s="2" t="inlineStr">
        <is>
          <t>Хлеб</t>
        </is>
      </c>
      <c r="B14" s="2" t="inlineStr">
        <is>
          <t>Мука</t>
        </is>
      </c>
      <c r="C14" s="2" t="n">
        <v>0.1</v>
      </c>
      <c r="D14" s="2" t="inlineStr">
        <is>
          <t>кг</t>
        </is>
      </c>
    </row>
    <row r="15">
      <c r="A15" s="2" t="inlineStr">
        <is>
          <t>Хлеб</t>
        </is>
      </c>
      <c r="B15" s="2" t="inlineStr">
        <is>
          <t>Дрожжи</t>
        </is>
      </c>
      <c r="C15" s="2" t="n">
        <v>5</v>
      </c>
      <c r="D15" s="2" t="inlineStr">
        <is>
          <t>г</t>
        </is>
      </c>
    </row>
    <row r="16">
      <c r="A16" s="2" t="inlineStr">
        <is>
          <t>Круассан</t>
        </is>
      </c>
      <c r="B16" s="2" t="inlineStr">
        <is>
          <t>Мука</t>
        </is>
      </c>
      <c r="C16" s="2" t="n">
        <v>0.05</v>
      </c>
      <c r="D16" s="2" t="inlineStr">
        <is>
          <t>кг</t>
        </is>
      </c>
    </row>
    <row r="17">
      <c r="A17" s="2" t="inlineStr">
        <is>
          <t>Круассан</t>
        </is>
      </c>
      <c r="B17" s="2" t="inlineStr">
        <is>
          <t>Масло</t>
        </is>
      </c>
      <c r="C17" s="2" t="n">
        <v>0.02</v>
      </c>
      <c r="D17" s="2" t="inlineStr">
        <is>
          <t>кг</t>
        </is>
      </c>
    </row>
    <row r="18">
      <c r="A18" s="2" t="inlineStr">
        <is>
          <t>Чизкейк</t>
        </is>
      </c>
      <c r="B18" s="2" t="inlineStr">
        <is>
          <t>Печенье</t>
        </is>
      </c>
      <c r="C18" s="2" t="n">
        <v>0.05</v>
      </c>
      <c r="D18" s="2" t="inlineStr">
        <is>
          <t>кг</t>
        </is>
      </c>
    </row>
    <row r="19">
      <c r="A19" s="2" t="inlineStr">
        <is>
          <t>Чизкейк</t>
        </is>
      </c>
      <c r="B19" s="2" t="inlineStr">
        <is>
          <t>Сыр</t>
        </is>
      </c>
      <c r="C19" s="2" t="n">
        <v>0.08</v>
      </c>
      <c r="D19" s="2" t="inlineStr">
        <is>
          <t>кг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B19" sqref="B19"/>
    </sheetView>
  </sheetViews>
  <sheetFormatPr baseColWidth="8" defaultRowHeight="14.4"/>
  <cols>
    <col width="19" customWidth="1" min="1" max="1"/>
    <col width="30" customWidth="1" min="2" max="2"/>
    <col width="22" customWidth="1" min="3" max="3"/>
    <col width="18" customWidth="1" min="4" max="4"/>
  </cols>
  <sheetData>
    <row r="1">
      <c r="A1" t="inlineStr">
        <is>
          <t>Показатель</t>
        </is>
      </c>
      <c r="B1" t="inlineStr">
        <is>
          <t>Сегодня</t>
        </is>
      </c>
      <c r="C1" t="inlineStr">
        <is>
          <t>Неделя</t>
        </is>
      </c>
      <c r="D1" t="inlineStr">
        <is>
          <t>Месяц</t>
        </is>
      </c>
    </row>
    <row r="2">
      <c r="A2" t="inlineStr">
        <is>
          <t>Выручка (₸)</t>
        </is>
      </c>
      <c r="B2">
        <f>ЗАКАЗЫ!G8</f>
        <v/>
      </c>
      <c r="C2">
        <f>SUM(ЗАКАЗЫ!G:G)/4*7</f>
        <v/>
      </c>
      <c r="D2">
        <f>SUM(ЗАКАЗЫ!G:G)</f>
        <v/>
      </c>
    </row>
    <row r="3">
      <c r="A3" t="inlineStr">
        <is>
          <t>Себестоимость (₸)</t>
        </is>
      </c>
      <c r="B3">
        <f>SUMPRODUCT(ЗАКАЗЫ!G2:G100, МЕНЮ!C2:C100/МЕНЮ!D2:D100)</f>
        <v/>
      </c>
    </row>
    <row r="4">
      <c r="A4" t="inlineStr">
        <is>
          <t>Фудкост (%)</t>
        </is>
      </c>
      <c r="B4">
        <f>B3/B2*100</f>
        <v/>
      </c>
      <c r="C4">
        <f>C3/C2*100</f>
        <v/>
      </c>
      <c r="D4">
        <f>D3/D2*100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4.4"/>
  <cols>
    <col width="25" customWidth="1" min="1" max="1"/>
    <col width="13" customWidth="1" min="2" max="2"/>
    <col width="14" customWidth="1" min="3" max="3"/>
  </cols>
  <sheetData>
    <row r="1">
      <c r="A1" t="inlineStr">
        <is>
          <t>Показатель</t>
        </is>
      </c>
      <c r="B1" t="inlineStr">
        <is>
          <t>Сумма (₸)</t>
        </is>
      </c>
      <c r="C1" t="inlineStr">
        <is>
          <t>% от выручки</t>
        </is>
      </c>
    </row>
    <row r="2">
      <c r="A2" s="2" t="inlineStr">
        <is>
          <t>Выручка</t>
        </is>
      </c>
      <c r="B2" s="2">
        <f>ФУДКОСТ!B2</f>
        <v/>
      </c>
      <c r="C2" s="2" t="inlineStr">
        <is>
          <t>100%</t>
        </is>
      </c>
    </row>
    <row r="3">
      <c r="A3" s="2" t="inlineStr">
        <is>
          <t>Себестоимость продуктов</t>
        </is>
      </c>
      <c r="B3" s="2">
        <f>ФУДКОСТ!B3</f>
        <v/>
      </c>
      <c r="C3" s="2">
        <f>B3/B2*100</f>
        <v/>
      </c>
    </row>
    <row r="4">
      <c r="A4" s="2" t="inlineStr">
        <is>
          <t>Валовая прибыль</t>
        </is>
      </c>
      <c r="B4" s="2">
        <f>B2-B3</f>
        <v/>
      </c>
      <c r="C4" s="2">
        <f>B4/B2*100</f>
        <v/>
      </c>
    </row>
    <row r="5">
      <c r="A5" s="2" t="n"/>
      <c r="B5" s="2" t="n"/>
      <c r="C5" s="2" t="n"/>
    </row>
    <row r="6">
      <c r="A6" s="2" t="inlineStr">
        <is>
          <t>Расходы:</t>
        </is>
      </c>
      <c r="B6" s="2" t="n"/>
      <c r="C6" s="2" t="n"/>
    </row>
    <row r="7">
      <c r="A7" s="2" t="inlineStr">
        <is>
          <t>Зарплата персонала</t>
        </is>
      </c>
      <c r="B7" s="2" t="n">
        <v>250000</v>
      </c>
      <c r="C7" s="2">
        <f>B6/B2*100</f>
        <v/>
      </c>
    </row>
    <row r="8">
      <c r="A8" s="2" t="inlineStr">
        <is>
          <t>Аренда</t>
        </is>
      </c>
      <c r="B8" s="2" t="n">
        <v>150000</v>
      </c>
      <c r="C8" s="2">
        <f>B7/B2*100</f>
        <v/>
      </c>
    </row>
    <row r="9">
      <c r="A9" s="2" t="inlineStr">
        <is>
          <t>Коммунальные услуги</t>
        </is>
      </c>
      <c r="B9" s="2" t="n">
        <v>50000</v>
      </c>
      <c r="C9" s="2">
        <f>B8/B2*100</f>
        <v/>
      </c>
    </row>
    <row r="10">
      <c r="A10" s="2" t="inlineStr">
        <is>
          <t>Прочие расходы</t>
        </is>
      </c>
      <c r="B10" s="2" t="n">
        <v>80000</v>
      </c>
      <c r="C10" s="2">
        <f>B9/B2*100</f>
        <v/>
      </c>
    </row>
    <row r="11">
      <c r="A11" s="2" t="inlineStr">
        <is>
          <t>Итого расходов</t>
        </is>
      </c>
      <c r="B11" s="2">
        <f>SUM(B6:B9)</f>
        <v/>
      </c>
      <c r="C11" s="2">
        <f>B10/B2*100</f>
        <v/>
      </c>
    </row>
    <row r="12">
      <c r="A12" s="2" t="n"/>
      <c r="B12" s="2" t="n"/>
      <c r="C12" s="2" t="n"/>
    </row>
    <row r="13">
      <c r="A13" t="inlineStr">
        <is>
          <t>Чистая прибыль</t>
        </is>
      </c>
      <c r="B13">
        <f>B2-B3-B10</f>
        <v/>
      </c>
      <c r="C13">
        <f>B12/B2*100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4.4"/>
  <cols>
    <col width="10" customWidth="1" min="1" max="1"/>
    <col width="15" customWidth="1" min="2" max="2"/>
    <col width="13" customWidth="1" min="3" max="3"/>
    <col width="18" customWidth="1" min="4" max="4"/>
    <col width="30" customWidth="1" min="5" max="5"/>
  </cols>
  <sheetData>
    <row r="1" customFormat="1" s="1">
      <c r="A1" s="2" t="inlineStr">
        <is>
          <t>Блюдо</t>
        </is>
      </c>
      <c r="B1" s="2" t="inlineStr">
        <is>
          <t>Кол-во продаж</t>
        </is>
      </c>
      <c r="C1" s="2" t="inlineStr">
        <is>
          <t>Выручка (₸)</t>
        </is>
      </c>
      <c r="D1" s="2" t="inlineStr">
        <is>
          <t>Доля в выручке</t>
        </is>
      </c>
      <c r="E1" s="2" t="inlineStr">
        <is>
          <t>Категория</t>
        </is>
      </c>
    </row>
    <row r="2">
      <c r="A2" s="2" t="inlineStr">
        <is>
          <t>Пицца</t>
        </is>
      </c>
      <c r="B2" s="2" t="n">
        <v>50</v>
      </c>
      <c r="C2" s="2" t="n">
        <v>27500</v>
      </c>
      <c r="D2" s="2">
        <f>C2/SUM(C:C)*100</f>
        <v/>
      </c>
      <c r="E2" s="2">
        <f>IF(D2&gt;=40,"A",IF(D2&gt;=15,"B","C"))</f>
        <v/>
      </c>
    </row>
    <row r="3">
      <c r="A3" s="2" t="inlineStr">
        <is>
          <t>Капучино</t>
        </is>
      </c>
      <c r="B3" s="2" t="n">
        <v>40</v>
      </c>
      <c r="C3" s="2" t="n">
        <v>10000</v>
      </c>
      <c r="D3" s="2">
        <f>C3/SUM(C:C)*100</f>
        <v/>
      </c>
      <c r="E3" s="2">
        <f>IF(D3&gt;=40,"A",IF(D3&gt;=15,"B","C"))</f>
        <v/>
      </c>
    </row>
    <row r="4">
      <c r="A4" s="2" t="inlineStr">
        <is>
          <t>Чай</t>
        </is>
      </c>
      <c r="B4" s="2" t="n">
        <v>35</v>
      </c>
      <c r="C4" s="2" t="n">
        <v>3500</v>
      </c>
      <c r="D4" s="2">
        <f>C4/SUM(C:C)*100</f>
        <v/>
      </c>
      <c r="E4" s="2">
        <f>IF(D4&gt;=40,"A",IF(D4&gt;=15,"B","C"))</f>
        <v/>
      </c>
    </row>
    <row r="5">
      <c r="A5" s="2" t="inlineStr">
        <is>
          <t>Чизкейк</t>
        </is>
      </c>
      <c r="B5" s="2" t="n">
        <v>20</v>
      </c>
      <c r="C5" s="2" t="n">
        <v>7000</v>
      </c>
      <c r="D5" s="2">
        <f>C5/SUM(C:C)*100</f>
        <v/>
      </c>
      <c r="E5" s="2">
        <f>IF(D5&gt;=40,"A",IF(D5&gt;=15,"B","C"))</f>
        <v/>
      </c>
    </row>
    <row r="6">
      <c r="A6" s="2" t="inlineStr">
        <is>
          <t>Латте</t>
        </is>
      </c>
      <c r="B6" s="2" t="n">
        <v>15</v>
      </c>
      <c r="C6" s="2" t="n">
        <v>4500</v>
      </c>
      <c r="D6" s="2">
        <f>C6/SUM(C:C)*100</f>
        <v/>
      </c>
      <c r="E6" s="2">
        <f>IF(D6&gt;=40,"A",IF(D6&gt;=15,"B","C"))</f>
        <v/>
      </c>
    </row>
    <row r="7">
      <c r="A7" s="2" t="inlineStr">
        <is>
          <t>Суп</t>
        </is>
      </c>
      <c r="B7" s="2" t="n">
        <v>12</v>
      </c>
      <c r="C7" s="2" t="n">
        <v>3360</v>
      </c>
      <c r="D7" s="2">
        <f>C7/SUM(C:C)*100</f>
        <v/>
      </c>
      <c r="E7" s="2">
        <f>IF(D7&gt;=40,"A",IF(D7&gt;=15,"B","C"))</f>
        <v/>
      </c>
    </row>
    <row r="8">
      <c r="A8" s="2" t="inlineStr">
        <is>
          <t>Круассан</t>
        </is>
      </c>
      <c r="B8" s="2" t="n">
        <v>10</v>
      </c>
      <c r="C8" s="2" t="n">
        <v>2000</v>
      </c>
      <c r="D8" s="2">
        <f>C8/SUM(C:C)*100</f>
        <v/>
      </c>
      <c r="E8" s="2">
        <f>IF(D8&gt;=40,"A",IF(D8&gt;=15,"B","C"))</f>
        <v/>
      </c>
    </row>
    <row r="9">
      <c r="A9" s="2" t="inlineStr">
        <is>
          <t>Хлеб</t>
        </is>
      </c>
      <c r="B9" s="2" t="n">
        <v>8</v>
      </c>
      <c r="C9" s="2" t="n">
        <v>800</v>
      </c>
      <c r="D9" s="2">
        <f>C9/SUM(C:C)*100</f>
        <v/>
      </c>
      <c r="E9" s="2">
        <f>IF(D9&gt;=40,"A",IF(D9&gt;=15,"B","C"))</f>
        <v/>
      </c>
    </row>
    <row r="10">
      <c r="A10" s="2" t="inlineStr">
        <is>
          <t>ИТОГО:</t>
        </is>
      </c>
      <c r="B10" s="2" t="n"/>
      <c r="C10" s="2">
        <f>SUM(C2:C9)</f>
        <v/>
      </c>
      <c r="D10" s="2" t="n"/>
      <c r="E10" s="2" t="n"/>
    </row>
    <row r="11">
      <c r="A11" s="2" t="n"/>
      <c r="B11" s="2" t="n"/>
      <c r="C11" s="2" t="n"/>
      <c r="D11" s="2" t="n"/>
      <c r="E11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Категория</t>
        </is>
      </c>
    </row>
    <row r="2">
      <c r="A2" t="inlineStr">
        <is>
          <t>Напитки</t>
        </is>
      </c>
    </row>
    <row r="3">
      <c r="A3" t="inlineStr">
        <is>
          <t>Первые блюда</t>
        </is>
      </c>
    </row>
    <row r="4">
      <c r="A4" t="inlineStr">
        <is>
          <t>Вторые блюда</t>
        </is>
      </c>
    </row>
    <row r="5">
      <c r="A5" t="inlineStr">
        <is>
          <t>Фастфуд</t>
        </is>
      </c>
    </row>
    <row r="6">
      <c r="A6" t="inlineStr">
        <is>
          <t>Пицца</t>
        </is>
      </c>
    </row>
    <row r="7">
      <c r="A7" t="inlineStr">
        <is>
          <t>Соусы</t>
        </is>
      </c>
    </row>
    <row r="8">
      <c r="A8" t="inlineStr">
        <is>
          <t>Шашлыки</t>
        </is>
      </c>
    </row>
    <row r="9">
      <c r="A9" t="inlineStr">
        <is>
          <t>Донер</t>
        </is>
      </c>
    </row>
    <row r="10">
      <c r="A10" t="inlineStr">
        <is>
          <t>Выпечка</t>
        </is>
      </c>
    </row>
    <row r="11">
      <c r="A11" t="inlineStr">
        <is>
          <t>Десерты</t>
        </is>
      </c>
    </row>
    <row r="12">
      <c r="A12" t="inlineStr">
        <is>
          <t>Мороженое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Основная категория</t>
        </is>
      </c>
      <c r="B1" t="inlineStr">
        <is>
          <t>Подкатегория</t>
        </is>
      </c>
      <c r="C1" t="inlineStr">
        <is>
          <t>Блюдо</t>
        </is>
      </c>
    </row>
    <row r="2">
      <c r="A2" t="inlineStr">
        <is>
          <t>Напитки</t>
        </is>
      </c>
      <c r="B2" t="inlineStr">
        <is>
          <t>Горячие напитки</t>
        </is>
      </c>
      <c r="C2" t="inlineStr">
        <is>
          <t>Капучино</t>
        </is>
      </c>
    </row>
    <row r="3">
      <c r="A3" t="inlineStr">
        <is>
          <t>Напитки</t>
        </is>
      </c>
      <c r="B3" t="inlineStr">
        <is>
          <t>Горячие напитки</t>
        </is>
      </c>
      <c r="C3" t="inlineStr">
        <is>
          <t>Латте</t>
        </is>
      </c>
    </row>
    <row r="4">
      <c r="A4" t="inlineStr">
        <is>
          <t>Напитки</t>
        </is>
      </c>
      <c r="B4" t="inlineStr">
        <is>
          <t>Горячие напитки</t>
        </is>
      </c>
      <c r="C4" t="inlineStr">
        <is>
          <t>Американо</t>
        </is>
      </c>
    </row>
    <row r="5">
      <c r="A5" t="inlineStr">
        <is>
          <t>Напитки</t>
        </is>
      </c>
      <c r="B5" t="inlineStr">
        <is>
          <t>Горячие напитки</t>
        </is>
      </c>
      <c r="C5" t="inlineStr">
        <is>
          <t>Эспрессо</t>
        </is>
      </c>
    </row>
    <row r="6">
      <c r="A6" t="inlineStr">
        <is>
          <t>Напитки</t>
        </is>
      </c>
      <c r="B6" t="inlineStr">
        <is>
          <t>Горячие напитки</t>
        </is>
      </c>
      <c r="C6" t="inlineStr">
        <is>
          <t>Глинтвейн</t>
        </is>
      </c>
    </row>
    <row r="7">
      <c r="A7" t="inlineStr">
        <is>
          <t>Напитки</t>
        </is>
      </c>
      <c r="B7" t="inlineStr">
        <is>
          <t>Холодные напитки</t>
        </is>
      </c>
      <c r="C7" t="inlineStr">
        <is>
          <t>Чай холодный</t>
        </is>
      </c>
    </row>
    <row r="8">
      <c r="A8" t="inlineStr">
        <is>
          <t>Напитки</t>
        </is>
      </c>
      <c r="B8" t="inlineStr">
        <is>
          <t>Холодные напитки</t>
        </is>
      </c>
      <c r="C8" t="inlineStr">
        <is>
          <t>Лимонад</t>
        </is>
      </c>
    </row>
    <row r="9">
      <c r="A9" t="inlineStr">
        <is>
          <t>Напитки</t>
        </is>
      </c>
      <c r="B9" t="inlineStr">
        <is>
          <t>Холодные напитки</t>
        </is>
      </c>
      <c r="C9" t="inlineStr">
        <is>
          <t>Морс</t>
        </is>
      </c>
    </row>
    <row r="10">
      <c r="A10" t="inlineStr">
        <is>
          <t>Напитки</t>
        </is>
      </c>
      <c r="B10" t="inlineStr">
        <is>
          <t>Холодные напитки</t>
        </is>
      </c>
      <c r="C10" t="inlineStr">
        <is>
          <t>Компот</t>
        </is>
      </c>
    </row>
    <row r="11">
      <c r="A11" t="inlineStr">
        <is>
          <t>Напитки</t>
        </is>
      </c>
      <c r="B11" t="inlineStr">
        <is>
          <t>Соки</t>
        </is>
      </c>
      <c r="C11" t="inlineStr">
        <is>
          <t>Апельсиновый</t>
        </is>
      </c>
    </row>
    <row r="12">
      <c r="A12" t="inlineStr">
        <is>
          <t>Напитки</t>
        </is>
      </c>
      <c r="B12" t="inlineStr">
        <is>
          <t>Соки</t>
        </is>
      </c>
      <c r="C12" t="inlineStr">
        <is>
          <t>Яблочный</t>
        </is>
      </c>
    </row>
    <row r="13">
      <c r="A13" t="inlineStr">
        <is>
          <t>Напитки</t>
        </is>
      </c>
      <c r="B13" t="inlineStr">
        <is>
          <t>Соки</t>
        </is>
      </c>
      <c r="C13" t="inlineStr">
        <is>
          <t>Мультифрукт</t>
        </is>
      </c>
    </row>
    <row r="14">
      <c r="A14" t="inlineStr">
        <is>
          <t>Шашлыки</t>
        </is>
      </c>
      <c r="B14" t="inlineStr">
        <is>
          <t>Шашлык из курицы</t>
        </is>
      </c>
      <c r="C14" t="inlineStr">
        <is>
          <t>Куриный шашлык (сочный)</t>
        </is>
      </c>
    </row>
    <row r="15">
      <c r="A15" t="inlineStr">
        <is>
          <t>Шашлыки</t>
        </is>
      </c>
      <c r="B15" t="inlineStr">
        <is>
          <t>Шашлык из курицы</t>
        </is>
      </c>
      <c r="C15" t="inlineStr">
        <is>
          <t>Крылышки гриль</t>
        </is>
      </c>
    </row>
    <row r="16">
      <c r="A16" t="inlineStr">
        <is>
          <t>Шашлыки</t>
        </is>
      </c>
      <c r="B16" t="inlineStr">
        <is>
          <t>Шашлык из говядины</t>
        </is>
      </c>
      <c r="C16" t="inlineStr">
        <is>
          <t>Говяжий шашлык</t>
        </is>
      </c>
    </row>
    <row r="17">
      <c r="A17" t="inlineStr">
        <is>
          <t>Шашлыки</t>
        </is>
      </c>
      <c r="B17" t="inlineStr">
        <is>
          <t>Шашлык из говядины</t>
        </is>
      </c>
      <c r="C17" t="inlineStr">
        <is>
          <t>Люля-кебаб из говядины</t>
        </is>
      </c>
    </row>
    <row r="18">
      <c r="A18" t="inlineStr">
        <is>
          <t>Шашлыки</t>
        </is>
      </c>
      <c r="B18" t="inlineStr">
        <is>
          <t>Шашлык из свинины</t>
        </is>
      </c>
      <c r="C18" t="inlineStr">
        <is>
          <t>Свиной шашлык (балык)</t>
        </is>
      </c>
    </row>
    <row r="19">
      <c r="A19" t="inlineStr">
        <is>
          <t>Шашлыки</t>
        </is>
      </c>
      <c r="B19" t="inlineStr">
        <is>
          <t>Шашлык из свинины</t>
        </is>
      </c>
      <c r="C19" t="inlineStr">
        <is>
          <t>Корейка гриль</t>
        </is>
      </c>
    </row>
    <row r="20">
      <c r="A20" t="inlineStr">
        <is>
          <t>Шашлыки</t>
        </is>
      </c>
      <c r="B20" t="inlineStr">
        <is>
          <t>Овощной шашлык</t>
        </is>
      </c>
      <c r="C20" t="inlineStr">
        <is>
          <t>Шампиньоны гриль</t>
        </is>
      </c>
    </row>
    <row r="21">
      <c r="A21" t="inlineStr">
        <is>
          <t>Шашлыки</t>
        </is>
      </c>
      <c r="B21" t="inlineStr">
        <is>
          <t>Овощной шашлык</t>
        </is>
      </c>
      <c r="C21" t="inlineStr">
        <is>
          <t>Овощи гриль (микс)</t>
        </is>
      </c>
    </row>
    <row r="22">
      <c r="A22" t="inlineStr">
        <is>
          <t>Пицца</t>
        </is>
      </c>
      <c r="B22" t="inlineStr">
        <is>
          <t>Классическая</t>
        </is>
      </c>
      <c r="C22" t="inlineStr">
        <is>
          <t>Маргарита</t>
        </is>
      </c>
    </row>
    <row r="23">
      <c r="A23" t="inlineStr">
        <is>
          <t>Пицца</t>
        </is>
      </c>
      <c r="B23" t="inlineStr">
        <is>
          <t>Классическая</t>
        </is>
      </c>
      <c r="C23" t="inlineStr">
        <is>
          <t>Пепперони</t>
        </is>
      </c>
    </row>
    <row r="24">
      <c r="A24" t="inlineStr">
        <is>
          <t>Пицца</t>
        </is>
      </c>
      <c r="B24" t="inlineStr">
        <is>
          <t>Классическая</t>
        </is>
      </c>
      <c r="C24" t="inlineStr">
        <is>
          <t>Гавайская</t>
        </is>
      </c>
    </row>
    <row r="25">
      <c r="A25" t="inlineStr">
        <is>
          <t>Пицца</t>
        </is>
      </c>
      <c r="B25" t="inlineStr">
        <is>
          <t>Мясная</t>
        </is>
      </c>
      <c r="C25" t="inlineStr">
        <is>
          <t>Карбонара</t>
        </is>
      </c>
    </row>
    <row r="26">
      <c r="A26" t="inlineStr">
        <is>
          <t>Пицца</t>
        </is>
      </c>
      <c r="B26" t="inlineStr">
        <is>
          <t>Мясная</t>
        </is>
      </c>
      <c r="C26" t="inlineStr">
        <is>
          <t>Мясное ассорти</t>
        </is>
      </c>
    </row>
    <row r="27">
      <c r="A27" t="inlineStr">
        <is>
          <t>Пицца</t>
        </is>
      </c>
      <c r="B27" t="inlineStr">
        <is>
          <t>Вегетарианская</t>
        </is>
      </c>
      <c r="C27" t="inlineStr">
        <is>
          <t>Грибная</t>
        </is>
      </c>
    </row>
    <row r="28">
      <c r="A28" t="inlineStr">
        <is>
          <t>Пицца</t>
        </is>
      </c>
      <c r="B28" t="inlineStr">
        <is>
          <t>Вегетарианская</t>
        </is>
      </c>
      <c r="C28" t="inlineStr">
        <is>
          <t>Четыре сыра</t>
        </is>
      </c>
    </row>
    <row r="29">
      <c r="A29" t="inlineStr">
        <is>
          <t>Пицца</t>
        </is>
      </c>
      <c r="B29" t="inlineStr">
        <is>
          <t>Вегетарианская</t>
        </is>
      </c>
      <c r="C29" t="inlineStr">
        <is>
          <t>Вегетарианская</t>
        </is>
      </c>
    </row>
    <row r="30">
      <c r="A30" t="inlineStr">
        <is>
          <t>Первые блюда</t>
        </is>
      </c>
      <c r="B30" t="inlineStr">
        <is>
          <t>Супы</t>
        </is>
      </c>
      <c r="C30" t="inlineStr">
        <is>
          <t>Суп куриный</t>
        </is>
      </c>
    </row>
    <row r="31">
      <c r="A31" t="inlineStr">
        <is>
          <t>Первые блюда</t>
        </is>
      </c>
      <c r="B31" t="inlineStr">
        <is>
          <t>Супы</t>
        </is>
      </c>
      <c r="C31" t="inlineStr">
        <is>
          <t>Борщ</t>
        </is>
      </c>
    </row>
    <row r="32">
      <c r="A32" t="inlineStr">
        <is>
          <t>Первые блюда</t>
        </is>
      </c>
      <c r="B32" t="inlineStr">
        <is>
          <t>Супы</t>
        </is>
      </c>
      <c r="C32" t="inlineStr">
        <is>
          <t>Солянка</t>
        </is>
      </c>
    </row>
    <row r="33">
      <c r="A33" t="inlineStr">
        <is>
          <t>Первые блюда</t>
        </is>
      </c>
      <c r="B33" t="inlineStr">
        <is>
          <t>Супы</t>
        </is>
      </c>
      <c r="C33" t="inlineStr">
        <is>
          <t>Томатный суп</t>
        </is>
      </c>
    </row>
    <row r="34">
      <c r="A34" t="inlineStr">
        <is>
          <t>Первые блюда</t>
        </is>
      </c>
      <c r="B34" t="inlineStr">
        <is>
          <t>Бульоны</t>
        </is>
      </c>
      <c r="C34" t="inlineStr">
        <is>
          <t>Куриный бульон</t>
        </is>
      </c>
    </row>
    <row r="35">
      <c r="A35" t="inlineStr">
        <is>
          <t>Первые блюда</t>
        </is>
      </c>
      <c r="B35" t="inlineStr">
        <is>
          <t>Бульоны</t>
        </is>
      </c>
      <c r="C35" t="inlineStr">
        <is>
          <t>Говяжий бульон</t>
        </is>
      </c>
    </row>
    <row r="36">
      <c r="A36" t="inlineStr">
        <is>
          <t>Вторые блюда</t>
        </is>
      </c>
      <c r="B36" t="inlineStr">
        <is>
          <t>Гарниры</t>
        </is>
      </c>
      <c r="C36" t="inlineStr">
        <is>
          <t>Рис</t>
        </is>
      </c>
    </row>
    <row r="37">
      <c r="A37" t="inlineStr">
        <is>
          <t>Вторые блюда</t>
        </is>
      </c>
      <c r="B37" t="inlineStr">
        <is>
          <t>Гарниры</t>
        </is>
      </c>
      <c r="C37" t="inlineStr">
        <is>
          <t>Картофель фри</t>
        </is>
      </c>
    </row>
    <row r="38">
      <c r="A38" t="inlineStr">
        <is>
          <t>Вторые блюда</t>
        </is>
      </c>
      <c r="B38" t="inlineStr">
        <is>
          <t>Гарниры</t>
        </is>
      </c>
      <c r="C38" t="inlineStr">
        <is>
          <t>Картофельное пюре</t>
        </is>
      </c>
    </row>
    <row r="39">
      <c r="A39" t="inlineStr">
        <is>
          <t>Вторые блюда</t>
        </is>
      </c>
      <c r="B39" t="inlineStr">
        <is>
          <t>Гарниры</t>
        </is>
      </c>
      <c r="C39" t="inlineStr">
        <is>
          <t>Паста</t>
        </is>
      </c>
    </row>
    <row r="40">
      <c r="A40" t="inlineStr">
        <is>
          <t>Вторые блюда</t>
        </is>
      </c>
      <c r="B40" t="inlineStr">
        <is>
          <t>Мясные</t>
        </is>
      </c>
      <c r="C40" t="inlineStr">
        <is>
          <t>Стейк из говядины</t>
        </is>
      </c>
    </row>
    <row r="41">
      <c r="A41" t="inlineStr">
        <is>
          <t>Вторые блюда</t>
        </is>
      </c>
      <c r="B41" t="inlineStr">
        <is>
          <t>Мясные</t>
        </is>
      </c>
      <c r="C41" t="inlineStr">
        <is>
          <t>Котлета по-киевски</t>
        </is>
      </c>
    </row>
    <row r="42">
      <c r="A42" t="inlineStr">
        <is>
          <t>Вторые блюда</t>
        </is>
      </c>
      <c r="B42" t="inlineStr">
        <is>
          <t>Мясные</t>
        </is>
      </c>
      <c r="C42" t="inlineStr">
        <is>
          <t>Эскалоп</t>
        </is>
      </c>
    </row>
    <row r="43">
      <c r="A43" t="inlineStr">
        <is>
          <t>Вторые блюда</t>
        </is>
      </c>
      <c r="B43" t="inlineStr">
        <is>
          <t>Рыбные</t>
        </is>
      </c>
      <c r="C43" t="inlineStr">
        <is>
          <t>Лосось на гриле</t>
        </is>
      </c>
    </row>
    <row r="44">
      <c r="A44" t="inlineStr">
        <is>
          <t>Вторые блюда</t>
        </is>
      </c>
      <c r="B44" t="inlineStr">
        <is>
          <t>Рыбные</t>
        </is>
      </c>
      <c r="C44" t="inlineStr">
        <is>
          <t>Треска запечённая</t>
        </is>
      </c>
    </row>
    <row r="45">
      <c r="A45" t="inlineStr">
        <is>
          <t>Фастфуд</t>
        </is>
      </c>
      <c r="B45" t="inlineStr">
        <is>
          <t>Бургеры</t>
        </is>
      </c>
      <c r="C45" t="inlineStr">
        <is>
          <t>Чизбургер</t>
        </is>
      </c>
    </row>
    <row r="46">
      <c r="A46" t="inlineStr">
        <is>
          <t>Фастфуд</t>
        </is>
      </c>
      <c r="B46" t="inlineStr">
        <is>
          <t>Бургеры</t>
        </is>
      </c>
      <c r="C46" t="inlineStr">
        <is>
          <t>Гамбургер</t>
        </is>
      </c>
    </row>
    <row r="47">
      <c r="A47" t="inlineStr">
        <is>
          <t>Фастфуд</t>
        </is>
      </c>
      <c r="B47" t="inlineStr">
        <is>
          <t>Бургеры</t>
        </is>
      </c>
      <c r="C47" t="inlineStr">
        <is>
          <t>Двойной бургер</t>
        </is>
      </c>
    </row>
    <row r="48">
      <c r="A48" t="inlineStr">
        <is>
          <t>Фастфуд</t>
        </is>
      </c>
      <c r="B48" t="inlineStr">
        <is>
          <t>Закуски</t>
        </is>
      </c>
      <c r="C48" t="inlineStr">
        <is>
          <t>Картошка фри</t>
        </is>
      </c>
    </row>
    <row r="49">
      <c r="A49" t="inlineStr">
        <is>
          <t>Фастфуд</t>
        </is>
      </c>
      <c r="B49" t="inlineStr">
        <is>
          <t>Закуски</t>
        </is>
      </c>
      <c r="C49" t="inlineStr">
        <is>
          <t>Наггетсы</t>
        </is>
      </c>
    </row>
    <row r="50">
      <c r="A50" t="inlineStr">
        <is>
          <t>Фастфуд</t>
        </is>
      </c>
      <c r="B50" t="inlineStr">
        <is>
          <t>Закуски</t>
        </is>
      </c>
      <c r="C50" t="inlineStr">
        <is>
          <t>Крылышки</t>
        </is>
      </c>
    </row>
    <row r="51">
      <c r="A51" t="inlineStr">
        <is>
          <t>Фастфуд</t>
        </is>
      </c>
      <c r="B51" t="inlineStr">
        <is>
          <t>Хот-доги</t>
        </is>
      </c>
      <c r="C51" t="inlineStr">
        <is>
          <t>Хот-дог классический</t>
        </is>
      </c>
    </row>
    <row r="52">
      <c r="A52" t="inlineStr">
        <is>
          <t>Фастфуд</t>
        </is>
      </c>
      <c r="B52" t="inlineStr">
        <is>
          <t>Хот-доги</t>
        </is>
      </c>
      <c r="C52" t="inlineStr">
        <is>
          <t>Хот-дог сырный</t>
        </is>
      </c>
    </row>
    <row r="53">
      <c r="A53" t="inlineStr">
        <is>
          <t>Соусы</t>
        </is>
      </c>
      <c r="B53" t="inlineStr">
        <is>
          <t>Основные</t>
        </is>
      </c>
      <c r="C53" t="inlineStr">
        <is>
          <t>Кетчуп</t>
        </is>
      </c>
    </row>
    <row r="54">
      <c r="A54" t="inlineStr">
        <is>
          <t>Соусы</t>
        </is>
      </c>
      <c r="B54" t="inlineStr">
        <is>
          <t>Основные</t>
        </is>
      </c>
      <c r="C54" t="inlineStr">
        <is>
          <t>Майонез</t>
        </is>
      </c>
    </row>
    <row r="55">
      <c r="A55" t="inlineStr">
        <is>
          <t>Соусы</t>
        </is>
      </c>
      <c r="B55" t="inlineStr">
        <is>
          <t>Основные</t>
        </is>
      </c>
      <c r="C55" t="inlineStr">
        <is>
          <t>Горчица</t>
        </is>
      </c>
    </row>
    <row r="56">
      <c r="A56" t="inlineStr">
        <is>
          <t>Соусы</t>
        </is>
      </c>
      <c r="B56" t="inlineStr">
        <is>
          <t>Авторские</t>
        </is>
      </c>
      <c r="C56" t="inlineStr">
        <is>
          <t>Сырный соус</t>
        </is>
      </c>
    </row>
    <row r="57">
      <c r="A57" t="inlineStr">
        <is>
          <t>Соусы</t>
        </is>
      </c>
      <c r="B57" t="inlineStr">
        <is>
          <t>Авторские</t>
        </is>
      </c>
      <c r="C57" t="inlineStr">
        <is>
          <t>Чесночный соус</t>
        </is>
      </c>
    </row>
    <row r="58">
      <c r="A58" t="inlineStr">
        <is>
          <t>Соусы</t>
        </is>
      </c>
      <c r="B58" t="inlineStr">
        <is>
          <t>Авторские</t>
        </is>
      </c>
      <c r="C58" t="inlineStr">
        <is>
          <t>Тартар</t>
        </is>
      </c>
    </row>
    <row r="59">
      <c r="A59" t="inlineStr">
        <is>
          <t>Соусы</t>
        </is>
      </c>
      <c r="B59" t="inlineStr">
        <is>
          <t>Авторские</t>
        </is>
      </c>
      <c r="C59" t="inlineStr">
        <is>
          <t>Барбекю</t>
        </is>
      </c>
    </row>
    <row r="60">
      <c r="A60" t="inlineStr">
        <is>
          <t>Донер</t>
        </is>
      </c>
      <c r="B60" t="inlineStr">
        <is>
          <t>В лаваше</t>
        </is>
      </c>
      <c r="C60" t="inlineStr">
        <is>
          <t>Донер классический</t>
        </is>
      </c>
    </row>
    <row r="61">
      <c r="A61" t="inlineStr">
        <is>
          <t>Донер</t>
        </is>
      </c>
      <c r="B61" t="inlineStr">
        <is>
          <t>В лаваше</t>
        </is>
      </c>
      <c r="C61" t="inlineStr">
        <is>
          <t>Донер острый</t>
        </is>
      </c>
    </row>
    <row r="62">
      <c r="A62" t="inlineStr">
        <is>
          <t>Донер</t>
        </is>
      </c>
      <c r="B62" t="inlineStr">
        <is>
          <t>В лаваше</t>
        </is>
      </c>
      <c r="C62" t="inlineStr">
        <is>
          <t>Донер сырный</t>
        </is>
      </c>
    </row>
    <row r="63">
      <c r="A63" t="inlineStr">
        <is>
          <t>Донер</t>
        </is>
      </c>
      <c r="B63" t="inlineStr">
        <is>
          <t>В боксе</t>
        </is>
      </c>
      <c r="C63" t="inlineStr">
        <is>
          <t>Донер-бокс курица</t>
        </is>
      </c>
    </row>
    <row r="64">
      <c r="A64" t="inlineStr">
        <is>
          <t>Донер</t>
        </is>
      </c>
      <c r="B64" t="inlineStr">
        <is>
          <t>В боксе</t>
        </is>
      </c>
      <c r="C64" t="inlineStr">
        <is>
          <t>Донер-бокс говядина</t>
        </is>
      </c>
    </row>
    <row r="65">
      <c r="A65" t="inlineStr">
        <is>
          <t>Донер</t>
        </is>
      </c>
      <c r="B65" t="inlineStr">
        <is>
          <t>Вегетарианский</t>
        </is>
      </c>
      <c r="C65" t="inlineStr">
        <is>
          <t>Донер овощной</t>
        </is>
      </c>
    </row>
    <row r="66">
      <c r="A66" t="inlineStr">
        <is>
          <t>Донер</t>
        </is>
      </c>
      <c r="B66" t="inlineStr">
        <is>
          <t>Вегетарианский</t>
        </is>
      </c>
      <c r="C66" t="inlineStr">
        <is>
          <t>Донер с грибами</t>
        </is>
      </c>
    </row>
    <row r="67">
      <c r="A67" t="inlineStr">
        <is>
          <t>Выпечка</t>
        </is>
      </c>
      <c r="B67" t="inlineStr">
        <is>
          <t>Сладкая</t>
        </is>
      </c>
      <c r="C67" t="inlineStr">
        <is>
          <t>Круассан</t>
        </is>
      </c>
    </row>
    <row r="68">
      <c r="A68" t="inlineStr">
        <is>
          <t>Выпечка</t>
        </is>
      </c>
      <c r="B68" t="inlineStr">
        <is>
          <t>Сладкая</t>
        </is>
      </c>
      <c r="C68" t="inlineStr">
        <is>
          <t>Синнабон</t>
        </is>
      </c>
    </row>
    <row r="69">
      <c r="A69" t="inlineStr">
        <is>
          <t>Выпечка</t>
        </is>
      </c>
      <c r="B69" t="inlineStr">
        <is>
          <t>Сладкая</t>
        </is>
      </c>
      <c r="C69" t="inlineStr">
        <is>
          <t>Маффин</t>
        </is>
      </c>
    </row>
    <row r="70">
      <c r="A70" t="inlineStr">
        <is>
          <t>Выпечка</t>
        </is>
      </c>
      <c r="B70" t="inlineStr">
        <is>
          <t>Сладкая</t>
        </is>
      </c>
      <c r="C70" t="inlineStr">
        <is>
          <t>Пончик</t>
        </is>
      </c>
    </row>
    <row r="71">
      <c r="A71" t="inlineStr">
        <is>
          <t>Выпечка</t>
        </is>
      </c>
      <c r="B71" t="inlineStr">
        <is>
          <t>Солёная</t>
        </is>
      </c>
      <c r="C71" t="inlineStr">
        <is>
          <t>Пирожок с мясом</t>
        </is>
      </c>
    </row>
    <row r="72">
      <c r="A72" t="inlineStr">
        <is>
          <t>Выпечка</t>
        </is>
      </c>
      <c r="B72" t="inlineStr">
        <is>
          <t>Солёная</t>
        </is>
      </c>
      <c r="C72" t="inlineStr">
        <is>
          <t>Слойка с сыром</t>
        </is>
      </c>
    </row>
    <row r="73">
      <c r="A73" t="inlineStr">
        <is>
          <t>Выпечка</t>
        </is>
      </c>
      <c r="B73" t="inlineStr">
        <is>
          <t>Солёная</t>
        </is>
      </c>
      <c r="C73" t="inlineStr">
        <is>
          <t>Самса</t>
        </is>
      </c>
    </row>
    <row r="74">
      <c r="A74" t="inlineStr">
        <is>
          <t>Десерты</t>
        </is>
      </c>
      <c r="B74" t="inlineStr">
        <is>
          <t>Торты</t>
        </is>
      </c>
      <c r="C74" t="inlineStr">
        <is>
          <t>Чизкейк</t>
        </is>
      </c>
    </row>
    <row r="75">
      <c r="A75" t="inlineStr">
        <is>
          <t>Десерты</t>
        </is>
      </c>
      <c r="B75" t="inlineStr">
        <is>
          <t>Торты</t>
        </is>
      </c>
      <c r="C75" t="inlineStr">
        <is>
          <t>Медовик</t>
        </is>
      </c>
    </row>
    <row r="76">
      <c r="A76" t="inlineStr">
        <is>
          <t>Десерты</t>
        </is>
      </c>
      <c r="B76" t="inlineStr">
        <is>
          <t>Торты</t>
        </is>
      </c>
      <c r="C76" t="inlineStr">
        <is>
          <t>Наполеон</t>
        </is>
      </c>
    </row>
    <row r="77">
      <c r="A77" t="inlineStr">
        <is>
          <t>Десерты</t>
        </is>
      </c>
      <c r="B77" t="inlineStr">
        <is>
          <t>Пирожные</t>
        </is>
      </c>
      <c r="C77" t="inlineStr">
        <is>
          <t>Эклер</t>
        </is>
      </c>
    </row>
    <row r="78">
      <c r="A78" t="inlineStr">
        <is>
          <t>Десерты</t>
        </is>
      </c>
      <c r="B78" t="inlineStr">
        <is>
          <t>Пирожные</t>
        </is>
      </c>
      <c r="C78" t="inlineStr">
        <is>
          <t>Картошка</t>
        </is>
      </c>
    </row>
    <row r="79">
      <c r="A79" t="inlineStr">
        <is>
          <t>Десерты</t>
        </is>
      </c>
      <c r="B79" t="inlineStr">
        <is>
          <t>Пирожные</t>
        </is>
      </c>
      <c r="C79" t="inlineStr">
        <is>
          <t>Корзинка</t>
        </is>
      </c>
    </row>
    <row r="80">
      <c r="A80" t="inlineStr">
        <is>
          <t>Десерты</t>
        </is>
      </c>
      <c r="B80" t="inlineStr">
        <is>
          <t>Мороженое</t>
        </is>
      </c>
      <c r="C80" t="inlineStr">
        <is>
          <t>Пломбир</t>
        </is>
      </c>
    </row>
    <row r="81">
      <c r="A81" t="inlineStr">
        <is>
          <t>Десерты</t>
        </is>
      </c>
      <c r="B81" t="inlineStr">
        <is>
          <t>Мороженое</t>
        </is>
      </c>
      <c r="C81" t="inlineStr">
        <is>
          <t>Шоколадное</t>
        </is>
      </c>
    </row>
    <row r="82">
      <c r="A82" t="inlineStr">
        <is>
          <t>Десерты</t>
        </is>
      </c>
      <c r="B82" t="inlineStr">
        <is>
          <t>Мороженое</t>
        </is>
      </c>
      <c r="C82" t="inlineStr">
        <is>
          <t>Фруктовый лёд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Основная категория</t>
        </is>
      </c>
      <c r="B1" t="inlineStr">
        <is>
          <t>Подкатегория</t>
        </is>
      </c>
      <c r="C1" t="inlineStr">
        <is>
          <t>Блюдо</t>
        </is>
      </c>
      <c r="D1" t="inlineStr">
        <is>
          <t>Цена (₸)</t>
        </is>
      </c>
      <c r="E1" t="inlineStr">
        <is>
          <t>Себестоимость (₸)</t>
        </is>
      </c>
    </row>
    <row r="2">
      <c r="A2" t="inlineStr">
        <is>
          <t>Напитки</t>
        </is>
      </c>
      <c r="B2" t="inlineStr">
        <is>
          <t>Горячие напитки</t>
        </is>
      </c>
      <c r="C2" t="inlineStr">
        <is>
          <t>Капучино</t>
        </is>
      </c>
      <c r="D2" t="n">
        <v>0</v>
      </c>
      <c r="E2" t="n">
        <v>0</v>
      </c>
    </row>
    <row r="3">
      <c r="A3" t="inlineStr">
        <is>
          <t>Напитки</t>
        </is>
      </c>
      <c r="B3" t="inlineStr">
        <is>
          <t>Горячие напитки</t>
        </is>
      </c>
      <c r="C3" t="inlineStr">
        <is>
          <t>Латте</t>
        </is>
      </c>
      <c r="D3" t="n">
        <v>0</v>
      </c>
      <c r="E3" t="n">
        <v>0</v>
      </c>
    </row>
    <row r="4">
      <c r="A4" t="inlineStr">
        <is>
          <t>Напитки</t>
        </is>
      </c>
      <c r="B4" t="inlineStr">
        <is>
          <t>Горячие напитки</t>
        </is>
      </c>
      <c r="C4" t="inlineStr">
        <is>
          <t>Американо</t>
        </is>
      </c>
      <c r="D4" t="n">
        <v>0</v>
      </c>
      <c r="E4" t="n">
        <v>0</v>
      </c>
    </row>
    <row r="5">
      <c r="A5" t="inlineStr">
        <is>
          <t>Напитки</t>
        </is>
      </c>
      <c r="B5" t="inlineStr">
        <is>
          <t>Горячие напитки</t>
        </is>
      </c>
      <c r="C5" t="inlineStr">
        <is>
          <t>Эспрессо</t>
        </is>
      </c>
      <c r="D5" t="n">
        <v>0</v>
      </c>
      <c r="E5" t="n">
        <v>0</v>
      </c>
    </row>
    <row r="6">
      <c r="A6" t="inlineStr">
        <is>
          <t>Напитки</t>
        </is>
      </c>
      <c r="B6" t="inlineStr">
        <is>
          <t>Холодные напитки</t>
        </is>
      </c>
      <c r="C6" t="inlineStr">
        <is>
          <t>Чай холодный</t>
        </is>
      </c>
      <c r="D6" t="n">
        <v>0</v>
      </c>
      <c r="E6" t="n">
        <v>0</v>
      </c>
    </row>
    <row r="7">
      <c r="A7" t="inlineStr">
        <is>
          <t>Напитки</t>
        </is>
      </c>
      <c r="B7" t="inlineStr">
        <is>
          <t>Холодные напитки</t>
        </is>
      </c>
      <c r="C7" t="inlineStr">
        <is>
          <t>Лимонад</t>
        </is>
      </c>
      <c r="D7" t="n">
        <v>0</v>
      </c>
      <c r="E7" t="n">
        <v>0</v>
      </c>
    </row>
    <row r="8">
      <c r="A8" t="inlineStr">
        <is>
          <t>Напитки</t>
        </is>
      </c>
      <c r="B8" t="inlineStr">
        <is>
          <t>Холодные напитки</t>
        </is>
      </c>
      <c r="C8" t="inlineStr">
        <is>
          <t>Морс</t>
        </is>
      </c>
      <c r="D8" t="n">
        <v>0</v>
      </c>
      <c r="E8" t="n">
        <v>0</v>
      </c>
    </row>
    <row r="9">
      <c r="A9" t="inlineStr">
        <is>
          <t>Напитки</t>
        </is>
      </c>
      <c r="B9" t="inlineStr">
        <is>
          <t>Соки</t>
        </is>
      </c>
      <c r="C9" t="inlineStr">
        <is>
          <t>Апельсиновый</t>
        </is>
      </c>
      <c r="D9" t="n">
        <v>0</v>
      </c>
      <c r="E9" t="n">
        <v>0</v>
      </c>
    </row>
    <row r="10">
      <c r="A10" t="inlineStr">
        <is>
          <t>Напитки</t>
        </is>
      </c>
      <c r="B10" t="inlineStr">
        <is>
          <t>Соки</t>
        </is>
      </c>
      <c r="C10" t="inlineStr">
        <is>
          <t>Яблочный</t>
        </is>
      </c>
      <c r="D10" t="n">
        <v>0</v>
      </c>
      <c r="E10" t="n">
        <v>0</v>
      </c>
    </row>
    <row r="11">
      <c r="A11" t="inlineStr">
        <is>
          <t>Напитки</t>
        </is>
      </c>
      <c r="B11" t="inlineStr">
        <is>
          <t>Соки</t>
        </is>
      </c>
      <c r="C11" t="inlineStr">
        <is>
          <t>Мультифрукт</t>
        </is>
      </c>
      <c r="D11" t="n">
        <v>0</v>
      </c>
      <c r="E11" t="n">
        <v>0</v>
      </c>
    </row>
    <row r="12">
      <c r="A12" t="inlineStr">
        <is>
          <t>Шашлыки</t>
        </is>
      </c>
      <c r="B12" t="inlineStr">
        <is>
          <t>Шашлык из курицы</t>
        </is>
      </c>
      <c r="C12" t="inlineStr">
        <is>
          <t>Куриный шашлык</t>
        </is>
      </c>
      <c r="D12" t="n">
        <v>0</v>
      </c>
      <c r="E12" t="n">
        <v>0</v>
      </c>
    </row>
    <row r="13">
      <c r="A13" t="inlineStr">
        <is>
          <t>Шашлыки</t>
        </is>
      </c>
      <c r="B13" t="inlineStr">
        <is>
          <t>Шашлык из курицы</t>
        </is>
      </c>
      <c r="C13" t="inlineStr">
        <is>
          <t>Крылышки гриль</t>
        </is>
      </c>
      <c r="D13" t="n">
        <v>0</v>
      </c>
      <c r="E13" t="n">
        <v>0</v>
      </c>
    </row>
    <row r="14">
      <c r="A14" t="inlineStr">
        <is>
          <t>Шашлыки</t>
        </is>
      </c>
      <c r="B14" t="inlineStr">
        <is>
          <t>Шашлык из говядины</t>
        </is>
      </c>
      <c r="C14" t="inlineStr">
        <is>
          <t>Говяжий шашлык</t>
        </is>
      </c>
      <c r="D14" t="n">
        <v>0</v>
      </c>
      <c r="E14" t="n">
        <v>0</v>
      </c>
    </row>
    <row r="15">
      <c r="A15" t="inlineStr">
        <is>
          <t>Шашлыки</t>
        </is>
      </c>
      <c r="B15" t="inlineStr">
        <is>
          <t>Шашлык из говядины</t>
        </is>
      </c>
      <c r="C15" t="inlineStr">
        <is>
          <t>Люля-кебаб</t>
        </is>
      </c>
      <c r="D15" t="n">
        <v>0</v>
      </c>
      <c r="E15" t="n">
        <v>0</v>
      </c>
    </row>
    <row r="16">
      <c r="A16" t="inlineStr">
        <is>
          <t>Шашлыки</t>
        </is>
      </c>
      <c r="B16" t="inlineStr">
        <is>
          <t>Шашлык из свинины</t>
        </is>
      </c>
      <c r="C16" t="inlineStr">
        <is>
          <t>Свиной шашлык</t>
        </is>
      </c>
      <c r="D16" t="n">
        <v>0</v>
      </c>
      <c r="E16" t="n">
        <v>0</v>
      </c>
    </row>
    <row r="17">
      <c r="A17" t="inlineStr">
        <is>
          <t>Шашлыки</t>
        </is>
      </c>
      <c r="B17" t="inlineStr">
        <is>
          <t>Шашлык из свинины</t>
        </is>
      </c>
      <c r="C17" t="inlineStr">
        <is>
          <t>Корейка гриль</t>
        </is>
      </c>
      <c r="D17" t="n">
        <v>0</v>
      </c>
      <c r="E17" t="n">
        <v>0</v>
      </c>
    </row>
    <row r="18">
      <c r="A18" t="inlineStr">
        <is>
          <t>Пицца</t>
        </is>
      </c>
      <c r="B18" t="inlineStr">
        <is>
          <t>Классическая</t>
        </is>
      </c>
      <c r="C18" t="inlineStr">
        <is>
          <t>Маргарита</t>
        </is>
      </c>
      <c r="D18" t="n">
        <v>0</v>
      </c>
      <c r="E18" t="n">
        <v>0</v>
      </c>
    </row>
    <row r="19">
      <c r="A19" t="inlineStr">
        <is>
          <t>Пицца</t>
        </is>
      </c>
      <c r="B19" t="inlineStr">
        <is>
          <t>Классическая</t>
        </is>
      </c>
      <c r="C19" t="inlineStr">
        <is>
          <t>Пепперони</t>
        </is>
      </c>
      <c r="D19" t="n">
        <v>0</v>
      </c>
      <c r="E19" t="n">
        <v>0</v>
      </c>
    </row>
    <row r="20">
      <c r="A20" t="inlineStr">
        <is>
          <t>Пицца</t>
        </is>
      </c>
      <c r="B20" t="inlineStr">
        <is>
          <t>Мясная</t>
        </is>
      </c>
      <c r="C20" t="inlineStr">
        <is>
          <t>Карбонара</t>
        </is>
      </c>
      <c r="D20" t="n">
        <v>0</v>
      </c>
      <c r="E20" t="n">
        <v>0</v>
      </c>
    </row>
    <row r="21">
      <c r="A21" t="inlineStr">
        <is>
          <t>Пицца</t>
        </is>
      </c>
      <c r="B21" t="inlineStr">
        <is>
          <t>Мясная</t>
        </is>
      </c>
      <c r="C21" t="inlineStr">
        <is>
          <t>Мясное ассорти</t>
        </is>
      </c>
      <c r="D21" t="n">
        <v>0</v>
      </c>
      <c r="E21" t="n">
        <v>0</v>
      </c>
    </row>
    <row r="22">
      <c r="A22" t="inlineStr">
        <is>
          <t>Пицца</t>
        </is>
      </c>
      <c r="B22" t="inlineStr">
        <is>
          <t>Вегетарианская</t>
        </is>
      </c>
      <c r="C22" t="inlineStr">
        <is>
          <t>Грибная</t>
        </is>
      </c>
      <c r="D22" t="n">
        <v>0</v>
      </c>
      <c r="E22" t="n">
        <v>0</v>
      </c>
    </row>
    <row r="23">
      <c r="A23" t="inlineStr">
        <is>
          <t>Пицца</t>
        </is>
      </c>
      <c r="B23" t="inlineStr">
        <is>
          <t>Вегетарианская</t>
        </is>
      </c>
      <c r="C23" t="inlineStr">
        <is>
          <t>Четыре сыра</t>
        </is>
      </c>
      <c r="D23" t="n">
        <v>0</v>
      </c>
      <c r="E23" t="n">
        <v>0</v>
      </c>
    </row>
    <row r="24">
      <c r="A24" t="inlineStr">
        <is>
          <t>Первые блюда</t>
        </is>
      </c>
      <c r="B24" t="inlineStr">
        <is>
          <t>Супы</t>
        </is>
      </c>
      <c r="C24" t="inlineStr">
        <is>
          <t>Суп куриный</t>
        </is>
      </c>
      <c r="D24" t="n">
        <v>0</v>
      </c>
      <c r="E24" t="n">
        <v>0</v>
      </c>
    </row>
    <row r="25">
      <c r="A25" t="inlineStr">
        <is>
          <t>Первые блюда</t>
        </is>
      </c>
      <c r="B25" t="inlineStr">
        <is>
          <t>Супы</t>
        </is>
      </c>
      <c r="C25" t="inlineStr">
        <is>
          <t>Борщ</t>
        </is>
      </c>
      <c r="D25" t="n">
        <v>0</v>
      </c>
      <c r="E25" t="n">
        <v>0</v>
      </c>
    </row>
    <row r="26">
      <c r="A26" t="inlineStr">
        <is>
          <t>Первые блюда</t>
        </is>
      </c>
      <c r="B26" t="inlineStr">
        <is>
          <t>Супы</t>
        </is>
      </c>
      <c r="C26" t="inlineStr">
        <is>
          <t>Солянка</t>
        </is>
      </c>
      <c r="D26" t="n">
        <v>0</v>
      </c>
      <c r="E26" t="n">
        <v>0</v>
      </c>
    </row>
    <row r="27">
      <c r="A27" t="inlineStr">
        <is>
          <t>Вторые блюда</t>
        </is>
      </c>
      <c r="B27" t="inlineStr">
        <is>
          <t>Гарниры</t>
        </is>
      </c>
      <c r="C27" t="inlineStr">
        <is>
          <t>Рис</t>
        </is>
      </c>
      <c r="D27" t="n">
        <v>0</v>
      </c>
      <c r="E27" t="n">
        <v>0</v>
      </c>
    </row>
    <row r="28">
      <c r="A28" t="inlineStr">
        <is>
          <t>Вторые блюда</t>
        </is>
      </c>
      <c r="B28" t="inlineStr">
        <is>
          <t>Гарниры</t>
        </is>
      </c>
      <c r="C28" t="inlineStr">
        <is>
          <t>Картофель фри</t>
        </is>
      </c>
      <c r="D28" t="n">
        <v>0</v>
      </c>
      <c r="E28" t="n">
        <v>0</v>
      </c>
    </row>
    <row r="29">
      <c r="A29" t="inlineStr">
        <is>
          <t>Вторые блюда</t>
        </is>
      </c>
      <c r="B29" t="inlineStr">
        <is>
          <t>Гарниры</t>
        </is>
      </c>
      <c r="C29" t="inlineStr">
        <is>
          <t>Пюре</t>
        </is>
      </c>
      <c r="D29" t="n">
        <v>0</v>
      </c>
      <c r="E29" t="n">
        <v>0</v>
      </c>
    </row>
    <row r="30">
      <c r="A30" t="inlineStr">
        <is>
          <t>Вторые блюда</t>
        </is>
      </c>
      <c r="B30" t="inlineStr">
        <is>
          <t>Мясные</t>
        </is>
      </c>
      <c r="C30" t="inlineStr">
        <is>
          <t>Стейк</t>
        </is>
      </c>
      <c r="D30" t="n">
        <v>0</v>
      </c>
      <c r="E30" t="n">
        <v>0</v>
      </c>
    </row>
    <row r="31">
      <c r="A31" t="inlineStr">
        <is>
          <t>Вторые блюда</t>
        </is>
      </c>
      <c r="B31" t="inlineStr">
        <is>
          <t>Мясные</t>
        </is>
      </c>
      <c r="C31" t="inlineStr">
        <is>
          <t>Котлета по-киевски</t>
        </is>
      </c>
      <c r="D31" t="n">
        <v>0</v>
      </c>
      <c r="E31" t="n">
        <v>0</v>
      </c>
    </row>
    <row r="32">
      <c r="A32" t="inlineStr">
        <is>
          <t>Фастфуд</t>
        </is>
      </c>
      <c r="B32" t="inlineStr">
        <is>
          <t>Бургеры</t>
        </is>
      </c>
      <c r="C32" t="inlineStr">
        <is>
          <t>Чизбургер</t>
        </is>
      </c>
      <c r="D32" t="n">
        <v>0</v>
      </c>
      <c r="E32" t="n">
        <v>0</v>
      </c>
    </row>
    <row r="33">
      <c r="A33" t="inlineStr">
        <is>
          <t>Фастфуд</t>
        </is>
      </c>
      <c r="B33" t="inlineStr">
        <is>
          <t>Бургеры</t>
        </is>
      </c>
      <c r="C33" t="inlineStr">
        <is>
          <t>Гамбургер</t>
        </is>
      </c>
      <c r="D33" t="n">
        <v>0</v>
      </c>
      <c r="E33" t="n">
        <v>0</v>
      </c>
    </row>
    <row r="34">
      <c r="A34" t="inlineStr">
        <is>
          <t>Фастфуд</t>
        </is>
      </c>
      <c r="B34" t="inlineStr">
        <is>
          <t>Закуски</t>
        </is>
      </c>
      <c r="C34" t="inlineStr">
        <is>
          <t>Картошка фри</t>
        </is>
      </c>
      <c r="D34" t="n">
        <v>0</v>
      </c>
      <c r="E34" t="n">
        <v>0</v>
      </c>
    </row>
    <row r="35">
      <c r="A35" t="inlineStr">
        <is>
          <t>Фастфуд</t>
        </is>
      </c>
      <c r="B35" t="inlineStr">
        <is>
          <t>Закуски</t>
        </is>
      </c>
      <c r="C35" t="inlineStr">
        <is>
          <t>Наггетсы</t>
        </is>
      </c>
      <c r="D35" t="n">
        <v>0</v>
      </c>
      <c r="E35" t="n">
        <v>0</v>
      </c>
    </row>
    <row r="36">
      <c r="A36" t="inlineStr">
        <is>
          <t>Соусы</t>
        </is>
      </c>
      <c r="B36" t="inlineStr">
        <is>
          <t>Основные</t>
        </is>
      </c>
      <c r="C36" t="inlineStr">
        <is>
          <t>Кетчуп</t>
        </is>
      </c>
      <c r="D36" t="n">
        <v>0</v>
      </c>
      <c r="E36" t="n">
        <v>0</v>
      </c>
    </row>
    <row r="37">
      <c r="A37" t="inlineStr">
        <is>
          <t>Соусы</t>
        </is>
      </c>
      <c r="B37" t="inlineStr">
        <is>
          <t>Основные</t>
        </is>
      </c>
      <c r="C37" t="inlineStr">
        <is>
          <t>Майонез</t>
        </is>
      </c>
      <c r="D37" t="n">
        <v>0</v>
      </c>
      <c r="E37" t="n">
        <v>0</v>
      </c>
    </row>
    <row r="38">
      <c r="A38" t="inlineStr">
        <is>
          <t>Соусы</t>
        </is>
      </c>
      <c r="B38" t="inlineStr">
        <is>
          <t>Авторские</t>
        </is>
      </c>
      <c r="C38" t="inlineStr">
        <is>
          <t>Сырный</t>
        </is>
      </c>
      <c r="D38" t="n">
        <v>0</v>
      </c>
      <c r="E38" t="n">
        <v>0</v>
      </c>
    </row>
    <row r="39">
      <c r="A39" t="inlineStr">
        <is>
          <t>Соусы</t>
        </is>
      </c>
      <c r="B39" t="inlineStr">
        <is>
          <t>Авторские</t>
        </is>
      </c>
      <c r="C39" t="inlineStr">
        <is>
          <t>Чесночный</t>
        </is>
      </c>
      <c r="D39" t="n">
        <v>0</v>
      </c>
      <c r="E39" t="n">
        <v>0</v>
      </c>
    </row>
    <row r="40">
      <c r="A40" t="inlineStr">
        <is>
          <t>Донер</t>
        </is>
      </c>
      <c r="B40" t="inlineStr">
        <is>
          <t>В лаваше</t>
        </is>
      </c>
      <c r="C40" t="inlineStr">
        <is>
          <t>Донер классический</t>
        </is>
      </c>
      <c r="D40" t="n">
        <v>0</v>
      </c>
      <c r="E40" t="n">
        <v>0</v>
      </c>
    </row>
    <row r="41">
      <c r="A41" t="inlineStr">
        <is>
          <t>Донер</t>
        </is>
      </c>
      <c r="B41" t="inlineStr">
        <is>
          <t>В лаваше</t>
        </is>
      </c>
      <c r="C41" t="inlineStr">
        <is>
          <t>Донер острый</t>
        </is>
      </c>
      <c r="D41" t="n">
        <v>0</v>
      </c>
      <c r="E41" t="n">
        <v>0</v>
      </c>
    </row>
    <row r="42">
      <c r="A42" t="inlineStr">
        <is>
          <t>Донер</t>
        </is>
      </c>
      <c r="B42" t="inlineStr">
        <is>
          <t>В боксе</t>
        </is>
      </c>
      <c r="C42" t="inlineStr">
        <is>
          <t>Донер-бокс курица</t>
        </is>
      </c>
      <c r="D42" t="n">
        <v>0</v>
      </c>
      <c r="E42" t="n">
        <v>0</v>
      </c>
    </row>
    <row r="43">
      <c r="A43" t="inlineStr">
        <is>
          <t>Выпечка</t>
        </is>
      </c>
      <c r="B43" t="inlineStr">
        <is>
          <t>Сладкая</t>
        </is>
      </c>
      <c r="C43" t="inlineStr">
        <is>
          <t>Круассан</t>
        </is>
      </c>
      <c r="D43" t="n">
        <v>0</v>
      </c>
      <c r="E43" t="n">
        <v>0</v>
      </c>
    </row>
    <row r="44">
      <c r="A44" t="inlineStr">
        <is>
          <t>Выпечка</t>
        </is>
      </c>
      <c r="B44" t="inlineStr">
        <is>
          <t>Сладкая</t>
        </is>
      </c>
      <c r="C44" t="inlineStr">
        <is>
          <t>Синнабон</t>
        </is>
      </c>
      <c r="D44" t="n">
        <v>0</v>
      </c>
      <c r="E44" t="n">
        <v>0</v>
      </c>
    </row>
    <row r="45">
      <c r="A45" t="inlineStr">
        <is>
          <t>Выпечка</t>
        </is>
      </c>
      <c r="B45" t="inlineStr">
        <is>
          <t>Солёная</t>
        </is>
      </c>
      <c r="C45" t="inlineStr">
        <is>
          <t>Слойка с сыром</t>
        </is>
      </c>
      <c r="D45" t="n">
        <v>0</v>
      </c>
      <c r="E45" t="n">
        <v>0</v>
      </c>
    </row>
    <row r="46">
      <c r="A46" t="inlineStr">
        <is>
          <t>Выпечка</t>
        </is>
      </c>
      <c r="B46" t="inlineStr">
        <is>
          <t>Солёная</t>
        </is>
      </c>
      <c r="C46" t="inlineStr">
        <is>
          <t>Самса</t>
        </is>
      </c>
      <c r="D46" t="n">
        <v>0</v>
      </c>
      <c r="E46" t="n">
        <v>0</v>
      </c>
    </row>
    <row r="47">
      <c r="A47" t="inlineStr">
        <is>
          <t>Десерты</t>
        </is>
      </c>
      <c r="B47" t="inlineStr">
        <is>
          <t>Торты</t>
        </is>
      </c>
      <c r="C47" t="inlineStr">
        <is>
          <t>Чизкейк</t>
        </is>
      </c>
      <c r="D47" t="n">
        <v>0</v>
      </c>
      <c r="E47" t="n">
        <v>0</v>
      </c>
    </row>
    <row r="48">
      <c r="A48" t="inlineStr">
        <is>
          <t>Десерты</t>
        </is>
      </c>
      <c r="B48" t="inlineStr">
        <is>
          <t>Торты</t>
        </is>
      </c>
      <c r="C48" t="inlineStr">
        <is>
          <t>Медовик</t>
        </is>
      </c>
      <c r="D48" t="n">
        <v>0</v>
      </c>
      <c r="E48" t="n">
        <v>0</v>
      </c>
    </row>
    <row r="49">
      <c r="A49" t="inlineStr">
        <is>
          <t>Десерты</t>
        </is>
      </c>
      <c r="B49" t="inlineStr">
        <is>
          <t>Пирожные</t>
        </is>
      </c>
      <c r="C49" t="inlineStr">
        <is>
          <t>Эклер</t>
        </is>
      </c>
      <c r="D49" t="n">
        <v>0</v>
      </c>
      <c r="E49" t="n">
        <v>0</v>
      </c>
    </row>
    <row r="50">
      <c r="A50" t="inlineStr">
        <is>
          <t>Десерты</t>
        </is>
      </c>
      <c r="B50" t="inlineStr">
        <is>
          <t>Пирожные</t>
        </is>
      </c>
      <c r="C50" t="inlineStr">
        <is>
          <t>Картошка</t>
        </is>
      </c>
      <c r="D50" t="n">
        <v>0</v>
      </c>
      <c r="E50" t="n">
        <v>0</v>
      </c>
    </row>
    <row r="51">
      <c r="A51" t="inlineStr">
        <is>
          <t>Десерты</t>
        </is>
      </c>
      <c r="B51" t="inlineStr">
        <is>
          <t>Мороженое</t>
        </is>
      </c>
      <c r="C51" t="inlineStr">
        <is>
          <t>Пломбир</t>
        </is>
      </c>
      <c r="D51" t="n">
        <v>0</v>
      </c>
      <c r="E51" t="n">
        <v>0</v>
      </c>
    </row>
    <row r="52">
      <c r="A52" t="inlineStr">
        <is>
          <t>Десерты</t>
        </is>
      </c>
      <c r="B52" t="inlineStr">
        <is>
          <t>Мороженое</t>
        </is>
      </c>
      <c r="C52" t="inlineStr">
        <is>
          <t>Шоколадное</t>
        </is>
      </c>
      <c r="D52" t="n">
        <v>0</v>
      </c>
      <c r="E52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Имя</t>
        </is>
      </c>
      <c r="C1" t="inlineStr">
        <is>
          <t>Должность</t>
        </is>
      </c>
      <c r="D1" t="inlineStr">
        <is>
          <t>Телефон</t>
        </is>
      </c>
      <c r="E1" t="inlineStr">
        <is>
          <t>PIN-код</t>
        </is>
      </c>
      <c r="F1" t="inlineStr">
        <is>
          <t>Активен</t>
        </is>
      </c>
      <c r="G1" t="inlineStr">
        <is>
          <t>Дата добавления</t>
        </is>
      </c>
    </row>
    <row r="2">
      <c r="A2" t="n">
        <v>1</v>
      </c>
      <c r="B2" t="inlineStr">
        <is>
          <t>Анна</t>
        </is>
      </c>
      <c r="C2" t="inlineStr">
        <is>
          <t>Официант</t>
        </is>
      </c>
      <c r="D2" t="inlineStr">
        <is>
          <t>+7XXX</t>
        </is>
      </c>
      <c r="E2" t="n">
        <v>1234</v>
      </c>
      <c r="F2" t="inlineStr">
        <is>
          <t>Да</t>
        </is>
      </c>
      <c r="G2" t="inlineStr">
        <is>
          <t>10.06.2026</t>
        </is>
      </c>
    </row>
    <row r="3">
      <c r="A3" t="n">
        <v>2</v>
      </c>
      <c r="B3" t="inlineStr">
        <is>
          <t>Иван</t>
        </is>
      </c>
      <c r="C3" t="inlineStr">
        <is>
          <t>Официант</t>
        </is>
      </c>
      <c r="D3" t="inlineStr">
        <is>
          <t>+7XXX</t>
        </is>
      </c>
      <c r="E3" t="n">
        <v>5678</v>
      </c>
      <c r="F3" t="inlineStr">
        <is>
          <t>Да</t>
        </is>
      </c>
      <c r="G3" t="inlineStr">
        <is>
          <t>10.06.2026</t>
        </is>
      </c>
    </row>
    <row r="4">
      <c r="A4" t="n">
        <v>3</v>
      </c>
      <c r="B4" t="inlineStr">
        <is>
          <t>Сергей</t>
        </is>
      </c>
      <c r="C4" t="inlineStr">
        <is>
          <t>Администратор</t>
        </is>
      </c>
      <c r="D4" t="inlineStr">
        <is>
          <t>+7XXX</t>
        </is>
      </c>
      <c r="E4" t="n">
        <v>0</v>
      </c>
      <c r="F4" t="inlineStr">
        <is>
          <t>Да</t>
        </is>
      </c>
      <c r="G4" t="inlineStr">
        <is>
          <t>10.06.2026</t>
        </is>
      </c>
    </row>
    <row r="5">
      <c r="A5" t="n">
        <v>4</v>
      </c>
      <c r="B5" t="inlineStr">
        <is>
          <t>Мярт</t>
        </is>
      </c>
      <c r="C5" t="inlineStr">
        <is>
          <t>Официант</t>
        </is>
      </c>
      <c r="E5" t="inlineStr">
        <is>
          <t>7777</t>
        </is>
      </c>
      <c r="F5" t="inlineStr">
        <is>
          <t>Да</t>
        </is>
      </c>
      <c r="G5" t="inlineStr">
        <is>
          <t>10.06.2026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2026-06-10T08:38:55Z</dcterms:created>
  <dcterms:modified xsi:type="dcterms:W3CDTF">2026-06-10T14:24:40Z</dcterms:modified>
  <cp:lastModifiedBy>Sair3n</cp:lastModifiedBy>
</cp:coreProperties>
</file>