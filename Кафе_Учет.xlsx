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str\Github projects\Cafe_System\"/>
    </mc:Choice>
  </mc:AlternateContent>
  <xr:revisionPtr revIDLastSave="0" documentId="13_ncr:1_{46CD10D5-3551-40BE-B3D5-467435AC447B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ЗАКАЗЫ" sheetId="1" r:id="rId1"/>
    <sheet name="МЕНЮ" sheetId="2" r:id="rId2"/>
    <sheet name="ИНГРЕДИЕНТЫ" sheetId="3" r:id="rId3"/>
    <sheet name="РЕЦЕПТЫ" sheetId="4" r:id="rId4"/>
    <sheet name="ФУДКОСТ" sheetId="5" r:id="rId5"/>
    <sheet name="P&amp;L" sheetId="6" r:id="rId6"/>
    <sheet name="ABC_АНАЛИЗ" sheetId="7" r:id="rId7"/>
    <sheet name="КАТЕГОРИИ" sheetId="8" r:id="rId8"/>
    <sheet name="ПОДКАТЕГОРИИ" sheetId="9" r:id="rId9"/>
    <sheet name="КАТЕГОРИИ_ПОЛНАЯ" sheetId="10" r:id="rId10"/>
    <sheet name="ПЕРСОНАЛ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7" l="1"/>
  <c r="D7" i="7" s="1"/>
  <c r="E7" i="7" s="1"/>
  <c r="D8" i="7"/>
  <c r="E8" i="7" s="1"/>
  <c r="D6" i="7"/>
  <c r="E6" i="7" s="1"/>
  <c r="E5" i="7"/>
  <c r="D5" i="7"/>
  <c r="B11" i="6"/>
  <c r="B3" i="5"/>
  <c r="B4" i="5" s="1"/>
  <c r="D2" i="5"/>
  <c r="D4" i="5" s="1"/>
  <c r="C2" i="5"/>
  <c r="C4" i="5" s="1"/>
  <c r="B2" i="5"/>
  <c r="B2" i="6" s="1"/>
  <c r="C13" i="6" l="1"/>
  <c r="C11" i="6"/>
  <c r="C10" i="6"/>
  <c r="C9" i="6"/>
  <c r="C7" i="6"/>
  <c r="C8" i="6"/>
  <c r="B3" i="6"/>
  <c r="C3" i="6" s="1"/>
  <c r="D9" i="7"/>
  <c r="E9" i="7" s="1"/>
  <c r="D4" i="7"/>
  <c r="E4" i="7" s="1"/>
  <c r="D2" i="7"/>
  <c r="E2" i="7" s="1"/>
  <c r="D3" i="7"/>
  <c r="E3" i="7" s="1"/>
  <c r="B13" i="6" l="1"/>
  <c r="B4" i="6"/>
  <c r="C4" i="6" s="1"/>
</calcChain>
</file>

<file path=xl/sharedStrings.xml><?xml version="1.0" encoding="utf-8"?>
<sst xmlns="http://schemas.openxmlformats.org/spreadsheetml/2006/main" count="675" uniqueCount="208">
  <si>
    <t>ID</t>
  </si>
  <si>
    <t>Дата</t>
  </si>
  <si>
    <t>Время</t>
  </si>
  <si>
    <t>Столик</t>
  </si>
  <si>
    <t>Гости</t>
  </si>
  <si>
    <t>Официант</t>
  </si>
  <si>
    <t>Блюда</t>
  </si>
  <si>
    <t>Сумма (₸)</t>
  </si>
  <si>
    <t>Оплата</t>
  </si>
  <si>
    <t>Примечание</t>
  </si>
  <si>
    <t>Статус</t>
  </si>
  <si>
    <t>Создано</t>
  </si>
  <si>
    <t>8129E1F5FE</t>
  </si>
  <si>
    <t>10.06.2026</t>
  </si>
  <si>
    <t>10:30</t>
  </si>
  <si>
    <t>Анна</t>
  </si>
  <si>
    <t>Капучино, Чизкейк</t>
  </si>
  <si>
    <t>Карта</t>
  </si>
  <si>
    <t>Новый</t>
  </si>
  <si>
    <t>F5343C88FC</t>
  </si>
  <si>
    <t>13:15</t>
  </si>
  <si>
    <t>Иван</t>
  </si>
  <si>
    <t>2x Пицца, 3x Чай</t>
  </si>
  <si>
    <t>Наличные</t>
  </si>
  <si>
    <t>4E0AC2F454</t>
  </si>
  <si>
    <t>14:00</t>
  </si>
  <si>
    <t>Суп, Хлеб</t>
  </si>
  <si>
    <t>42490AA9EE</t>
  </si>
  <si>
    <t>17:30</t>
  </si>
  <si>
    <t>Латте, Круассан</t>
  </si>
  <si>
    <t>9F83592152</t>
  </si>
  <si>
    <t>18:45</t>
  </si>
  <si>
    <t>2x Пицца, 2x Чай</t>
  </si>
  <si>
    <t>3D2EABE1E1</t>
  </si>
  <si>
    <t>ИТОГО за день:</t>
  </si>
  <si>
    <t>41FCC8E177</t>
  </si>
  <si>
    <t>Средний чек:</t>
  </si>
  <si>
    <t>96D97467EA</t>
  </si>
  <si>
    <t>11:57</t>
  </si>
  <si>
    <t>Чизкейк</t>
  </si>
  <si>
    <t>B02D2D3CD3</t>
  </si>
  <si>
    <t>12:35</t>
  </si>
  <si>
    <t>Хлеб, Латте, Чизкейк, Капучино</t>
  </si>
  <si>
    <t>EBFB463131</t>
  </si>
  <si>
    <t>17.06.2026</t>
  </si>
  <si>
    <t>12:44</t>
  </si>
  <si>
    <t>Сергей</t>
  </si>
  <si>
    <t>Капучино, Пицца Маргарита, Суп куриный, Хлеб, Чизкейк, Латте, Круассан, Чай</t>
  </si>
  <si>
    <t>D277BC34ED</t>
  </si>
  <si>
    <t>Капучино, Чизкейк, Пицца Маргарита</t>
  </si>
  <si>
    <t>B3F211F794</t>
  </si>
  <si>
    <t>16:24</t>
  </si>
  <si>
    <t>Мярт</t>
  </si>
  <si>
    <t>Латте, Капучино, Суп куриный</t>
  </si>
  <si>
    <t>Блюдо</t>
  </si>
  <si>
    <t>Категория</t>
  </si>
  <si>
    <t>Ингредиенты</t>
  </si>
  <si>
    <t>Себестоимость (₸)</t>
  </si>
  <si>
    <t>Цена продажи (₸)</t>
  </si>
  <si>
    <t>Маржинальность (%)</t>
  </si>
  <si>
    <t>Капучино</t>
  </si>
  <si>
    <t>Напитки</t>
  </si>
  <si>
    <t>Кофе, молоко</t>
  </si>
  <si>
    <t>Десерты</t>
  </si>
  <si>
    <t>Сыр, печенье</t>
  </si>
  <si>
    <t>Суп куриный</t>
  </si>
  <si>
    <t>Первые блюда</t>
  </si>
  <si>
    <t>Курица, овощи</t>
  </si>
  <si>
    <t>Латте</t>
  </si>
  <si>
    <t>Круассан</t>
  </si>
  <si>
    <t>Выпечка</t>
  </si>
  <si>
    <t>Мука, масло</t>
  </si>
  <si>
    <t>Американо</t>
  </si>
  <si>
    <t>Эспрессо</t>
  </si>
  <si>
    <t>Чай холодный</t>
  </si>
  <si>
    <t>Лимонад</t>
  </si>
  <si>
    <t>Морс</t>
  </si>
  <si>
    <t>Апельсиновый</t>
  </si>
  <si>
    <t>Яблочный</t>
  </si>
  <si>
    <t>Мультифрукт</t>
  </si>
  <si>
    <t>Куриный шашлык</t>
  </si>
  <si>
    <t>Шашлыки</t>
  </si>
  <si>
    <t>Крылышки гриль</t>
  </si>
  <si>
    <t>Говяжий шашлык</t>
  </si>
  <si>
    <t>Люля-кебаб</t>
  </si>
  <si>
    <t>Свиной шашлык</t>
  </si>
  <si>
    <t>Корейка гриль</t>
  </si>
  <si>
    <t>Маргарита</t>
  </si>
  <si>
    <t>Пицца</t>
  </si>
  <si>
    <t>Пепперони</t>
  </si>
  <si>
    <t>Карбонара</t>
  </si>
  <si>
    <t>Мясное ассорти</t>
  </si>
  <si>
    <t>Грибная</t>
  </si>
  <si>
    <t>Четыре сыра</t>
  </si>
  <si>
    <t>Борщ</t>
  </si>
  <si>
    <t>Солянка</t>
  </si>
  <si>
    <t>Рис</t>
  </si>
  <si>
    <t>Вторые блюда</t>
  </si>
  <si>
    <t>Картофель фри</t>
  </si>
  <si>
    <t>Пюре</t>
  </si>
  <si>
    <t>Стейк</t>
  </si>
  <si>
    <t>Котлета по-киевски</t>
  </si>
  <si>
    <t>Чизбургер</t>
  </si>
  <si>
    <t>Фастфуд</t>
  </si>
  <si>
    <t>Гамбургер</t>
  </si>
  <si>
    <t>Картошка фри</t>
  </si>
  <si>
    <t>Наггетсы</t>
  </si>
  <si>
    <t>Кетчуп</t>
  </si>
  <si>
    <t>Соусы</t>
  </si>
  <si>
    <t>Майонез</t>
  </si>
  <si>
    <t>Сырный</t>
  </si>
  <si>
    <t>Чесночный</t>
  </si>
  <si>
    <t>Донер классический</t>
  </si>
  <si>
    <t>Донер</t>
  </si>
  <si>
    <t>Донер острый</t>
  </si>
  <si>
    <t>Донер-бокс курица</t>
  </si>
  <si>
    <t>Синнабон</t>
  </si>
  <si>
    <t>Слойка с сыром</t>
  </si>
  <si>
    <t>Самса</t>
  </si>
  <si>
    <t>Медовик</t>
  </si>
  <si>
    <t>Эклер</t>
  </si>
  <si>
    <t>Картошка</t>
  </si>
  <si>
    <t>Пломбир</t>
  </si>
  <si>
    <t>Шоколадное</t>
  </si>
  <si>
    <t>Ингредиент</t>
  </si>
  <si>
    <t>Единица</t>
  </si>
  <si>
    <t>Остаток</t>
  </si>
  <si>
    <t>Мин. запас</t>
  </si>
  <si>
    <t>Цена за ед. (₸)</t>
  </si>
  <si>
    <t>Нужно заказать?</t>
  </si>
  <si>
    <t>Кофе</t>
  </si>
  <si>
    <t>г</t>
  </si>
  <si>
    <t>Молоко</t>
  </si>
  <si>
    <t>л</t>
  </si>
  <si>
    <t>Мука</t>
  </si>
  <si>
    <t>кг</t>
  </si>
  <si>
    <t>Сыр</t>
  </si>
  <si>
    <t>Курица</t>
  </si>
  <si>
    <t>Овощи</t>
  </si>
  <si>
    <t>Печенье</t>
  </si>
  <si>
    <t>Масло</t>
  </si>
  <si>
    <t>Дрожжи</t>
  </si>
  <si>
    <t>Соус</t>
  </si>
  <si>
    <t>Чай</t>
  </si>
  <si>
    <t>Сахар</t>
  </si>
  <si>
    <t>изюм</t>
  </si>
  <si>
    <t>Кол-во на порцию</t>
  </si>
  <si>
    <t>Пицца Маргарита</t>
  </si>
  <si>
    <t>Хлеб</t>
  </si>
  <si>
    <t>Показатель</t>
  </si>
  <si>
    <t>Сегодня</t>
  </si>
  <si>
    <t>Неделя</t>
  </si>
  <si>
    <t>Месяц</t>
  </si>
  <si>
    <t>Выручка (₸)</t>
  </si>
  <si>
    <t>Фудкост (%)</t>
  </si>
  <si>
    <t>% от выручки</t>
  </si>
  <si>
    <t>Выручка</t>
  </si>
  <si>
    <t>100%</t>
  </si>
  <si>
    <t>Себестоимость продуктов</t>
  </si>
  <si>
    <t>Валовая прибыль</t>
  </si>
  <si>
    <t>Расходы:</t>
  </si>
  <si>
    <t>Зарплата персонала</t>
  </si>
  <si>
    <t>Аренда</t>
  </si>
  <si>
    <t>Коммунальные услуги</t>
  </si>
  <si>
    <t>Прочие расходы</t>
  </si>
  <si>
    <t>Итого расходов</t>
  </si>
  <si>
    <t>Чистая прибыль</t>
  </si>
  <si>
    <t>Кол-во продаж</t>
  </si>
  <si>
    <t>Доля в выручке</t>
  </si>
  <si>
    <t>Суп</t>
  </si>
  <si>
    <t>ИТОГО:</t>
  </si>
  <si>
    <t>Основная категория</t>
  </si>
  <si>
    <t>Подкатегория</t>
  </si>
  <si>
    <t>Горячие напитки</t>
  </si>
  <si>
    <t>Холодные напитки</t>
  </si>
  <si>
    <t>Соки</t>
  </si>
  <si>
    <t>Шашлык из курицы</t>
  </si>
  <si>
    <t>Шашлык из говядины</t>
  </si>
  <si>
    <t>Шашлык из свинины</t>
  </si>
  <si>
    <t>Классическая</t>
  </si>
  <si>
    <t>Мясная</t>
  </si>
  <si>
    <t>Вегетарианская</t>
  </si>
  <si>
    <t>Супы</t>
  </si>
  <si>
    <t>Гарниры</t>
  </si>
  <si>
    <t>Мясные</t>
  </si>
  <si>
    <t>Бургеры</t>
  </si>
  <si>
    <t>Закуски</t>
  </si>
  <si>
    <t>Основные</t>
  </si>
  <si>
    <t>Авторские</t>
  </si>
  <si>
    <t>В лаваше</t>
  </si>
  <si>
    <t>В боксе</t>
  </si>
  <si>
    <t>Сладкая</t>
  </si>
  <si>
    <t>Солёная</t>
  </si>
  <si>
    <t>Торты</t>
  </si>
  <si>
    <t>Пирожные</t>
  </si>
  <si>
    <t>Мороженое</t>
  </si>
  <si>
    <t>Цена (₸)</t>
  </si>
  <si>
    <t>Имя</t>
  </si>
  <si>
    <t>Должность</t>
  </si>
  <si>
    <t>Телефон</t>
  </si>
  <si>
    <t>PIN-код</t>
  </si>
  <si>
    <t>Активен</t>
  </si>
  <si>
    <t>Дата добавления</t>
  </si>
  <si>
    <t>Администратор</t>
  </si>
  <si>
    <t>+7XXX</t>
  </si>
  <si>
    <t>Да</t>
  </si>
  <si>
    <t>Admin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</si>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</sst>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3</v>
      </c>
      <c r="E2">
        <v>2</v>
      </c>
      <c r="F2" t="s">
        <v>15</v>
      </c>
      <c r="G2" t="s">
        <v>16</v>
      </c>
      <c r="H2">
        <v>650</v>
      </c>
      <c r="I2" t="s">
        <v>17</v>
      </c>
      <c r="K2" t="s">
        <v>18</v>
      </c>
    </row>
    <row r="3" spans="1:12" x14ac:dyDescent="0.3">
      <c r="A3" t="s">
        <v>19</v>
      </c>
      <c r="B3" t="s">
        <v>13</v>
      </c>
      <c r="C3" t="s">
        <v>20</v>
      </c>
      <c r="D3">
        <v>5</v>
      </c>
      <c r="E3">
        <v>4</v>
      </c>
      <c r="F3" t="s">
        <v>21</v>
      </c>
      <c r="G3" t="s">
        <v>22</v>
      </c>
      <c r="H3">
        <v>2450</v>
      </c>
      <c r="I3" t="s">
        <v>23</v>
      </c>
      <c r="K3" t="s">
        <v>18</v>
      </c>
    </row>
    <row r="4" spans="1:12" x14ac:dyDescent="0.3">
      <c r="A4" t="s">
        <v>24</v>
      </c>
      <c r="B4" t="s">
        <v>13</v>
      </c>
      <c r="C4" t="s">
        <v>25</v>
      </c>
      <c r="D4">
        <v>1</v>
      </c>
      <c r="E4">
        <v>1</v>
      </c>
      <c r="F4" t="s">
        <v>15</v>
      </c>
      <c r="G4" t="s">
        <v>26</v>
      </c>
      <c r="H4">
        <v>380</v>
      </c>
      <c r="I4" t="s">
        <v>17</v>
      </c>
      <c r="K4" t="s">
        <v>18</v>
      </c>
    </row>
    <row r="5" spans="1:12" x14ac:dyDescent="0.3">
      <c r="A5" t="s">
        <v>27</v>
      </c>
      <c r="B5" t="s">
        <v>13</v>
      </c>
      <c r="C5" t="s">
        <v>28</v>
      </c>
      <c r="D5">
        <v>2</v>
      </c>
      <c r="E5">
        <v>2</v>
      </c>
      <c r="F5" t="s">
        <v>21</v>
      </c>
      <c r="G5" t="s">
        <v>29</v>
      </c>
      <c r="H5">
        <v>520</v>
      </c>
      <c r="I5" t="s">
        <v>17</v>
      </c>
      <c r="K5" t="s">
        <v>18</v>
      </c>
    </row>
    <row r="6" spans="1:12" x14ac:dyDescent="0.3">
      <c r="A6" t="s">
        <v>30</v>
      </c>
      <c r="B6" t="s">
        <v>13</v>
      </c>
      <c r="C6" t="s">
        <v>31</v>
      </c>
      <c r="D6">
        <v>4</v>
      </c>
      <c r="E6">
        <v>3</v>
      </c>
      <c r="F6" t="s">
        <v>15</v>
      </c>
      <c r="G6" t="s">
        <v>32</v>
      </c>
      <c r="H6">
        <v>2450</v>
      </c>
      <c r="I6" t="s">
        <v>23</v>
      </c>
      <c r="K6" t="s">
        <v>18</v>
      </c>
    </row>
    <row r="7" spans="1:12" x14ac:dyDescent="0.3">
      <c r="A7" t="s">
        <v>33</v>
      </c>
      <c r="B7" t="s">
        <v>34</v>
      </c>
      <c r="K7" t="s">
        <v>18</v>
      </c>
    </row>
    <row r="8" spans="1:12" x14ac:dyDescent="0.3">
      <c r="A8" t="s">
        <v>35</v>
      </c>
      <c r="B8" t="s">
        <v>36</v>
      </c>
      <c r="K8" t="s">
        <v>18</v>
      </c>
    </row>
    <row r="9" spans="1:12" x14ac:dyDescent="0.3">
      <c r="A9" t="s">
        <v>37</v>
      </c>
      <c r="B9" t="s">
        <v>13</v>
      </c>
      <c r="C9" t="s">
        <v>38</v>
      </c>
      <c r="D9">
        <v>1</v>
      </c>
      <c r="E9">
        <v>2</v>
      </c>
      <c r="F9" t="s">
        <v>15</v>
      </c>
      <c r="G9" t="s">
        <v>39</v>
      </c>
      <c r="H9">
        <v>350</v>
      </c>
      <c r="I9" t="s">
        <v>23</v>
      </c>
      <c r="K9" t="s">
        <v>18</v>
      </c>
    </row>
    <row r="10" spans="1:12" x14ac:dyDescent="0.3">
      <c r="A10" t="s">
        <v>40</v>
      </c>
      <c r="B10" t="s">
        <v>13</v>
      </c>
      <c r="C10" t="s">
        <v>41</v>
      </c>
      <c r="D10">
        <v>10</v>
      </c>
      <c r="E10">
        <v>5</v>
      </c>
      <c r="F10" t="s">
        <v>21</v>
      </c>
      <c r="G10" t="s">
        <v>42</v>
      </c>
      <c r="H10">
        <v>1000</v>
      </c>
      <c r="I10" t="s">
        <v>23</v>
      </c>
      <c r="K10" t="s">
        <v>18</v>
      </c>
    </row>
    <row r="11" spans="1:12" x14ac:dyDescent="0.3">
      <c r="A11" t="s">
        <v>43</v>
      </c>
      <c r="B11" t="s">
        <v>44</v>
      </c>
      <c r="C11" t="s">
        <v>45</v>
      </c>
      <c r="D11">
        <v>1</v>
      </c>
      <c r="E11">
        <v>2</v>
      </c>
      <c r="F11" t="s">
        <v>46</v>
      </c>
      <c r="G11" t="s">
        <v>47</v>
      </c>
      <c r="H11">
        <v>2130</v>
      </c>
      <c r="I11" t="s">
        <v>23</v>
      </c>
      <c r="K11" t="s">
        <v>18</v>
      </c>
    </row>
    <row r="12" spans="1:12" x14ac:dyDescent="0.3">
      <c r="A12" t="s">
        <v>48</v>
      </c>
      <c r="B12" t="s">
        <v>13</v>
      </c>
      <c r="C12" t="s">
        <v>20</v>
      </c>
      <c r="D12">
        <v>1</v>
      </c>
      <c r="E12">
        <v>2</v>
      </c>
      <c r="F12" t="s">
        <v>15</v>
      </c>
      <c r="G12" t="s">
        <v>49</v>
      </c>
      <c r="H12">
        <v>1150</v>
      </c>
      <c r="I12" t="s">
        <v>23</v>
      </c>
      <c r="K12" t="s">
        <v>18</v>
      </c>
    </row>
    <row r="13" spans="1:12" x14ac:dyDescent="0.3">
      <c r="A13" t="s">
        <v>50</v>
      </c>
      <c r="B13" t="s">
        <v>13</v>
      </c>
      <c r="C13" t="s">
        <v>51</v>
      </c>
      <c r="D13">
        <v>1</v>
      </c>
      <c r="E13">
        <v>2</v>
      </c>
      <c r="F13" t="s">
        <v>52</v>
      </c>
      <c r="G13" t="s">
        <v>53</v>
      </c>
      <c r="H13">
        <v>830</v>
      </c>
      <c r="I13" t="s">
        <v>23</v>
      </c>
      <c r="K13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2"/>
  <sheetViews>
    <sheetView topLeftCell="A25" workbookViewId="0">
      <selection activeCell="A53" sqref="A53"/>
    </sheetView>
  </sheetViews>
  <sheetFormatPr defaultRowHeight="14.4" x14ac:dyDescent="0.3"/>
  <cols>
    <col min="1" max="1" width="18.88671875" bestFit="1" customWidth="1"/>
    <col min="2" max="2" width="13.77734375" bestFit="1" customWidth="1"/>
    <col min="3" max="3" width="14" bestFit="1" customWidth="1"/>
  </cols>
  <sheetData>
    <row r="1" spans="1:6" x14ac:dyDescent="0.3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</row>
    <row r="2" spans="1:6" x14ac:dyDescent="0.3">
      <c r="A2" t="s">
        <v>60</v>
      </c>
      <c r="B2" t="s">
        <v>61</v>
      </c>
      <c r="C2" t="s">
        <v>62</v>
      </c>
      <c r="D2">
        <v>0</v>
      </c>
      <c r="E2">
        <v>0</v>
      </c>
      <c r="F2">
        <v>0</v>
      </c>
    </row>
    <row r="3" spans="1:6" x14ac:dyDescent="0.3">
      <c r="A3" t="s">
        <v>39</v>
      </c>
      <c r="B3" t="s">
        <v>63</v>
      </c>
      <c r="C3" t="s">
        <v>64</v>
      </c>
      <c r="D3">
        <v>0</v>
      </c>
      <c r="E3">
        <v>0</v>
      </c>
      <c r="F3">
        <v>0</v>
      </c>
    </row>
    <row r="4" spans="1:6" x14ac:dyDescent="0.3">
      <c r="A4" t="s">
        <v>65</v>
      </c>
      <c r="B4" t="s">
        <v>66</v>
      </c>
      <c r="C4" t="s">
        <v>67</v>
      </c>
      <c r="D4">
        <v>0</v>
      </c>
      <c r="E4">
        <v>0</v>
      </c>
      <c r="F4">
        <v>0</v>
      </c>
    </row>
    <row r="5" spans="1:6" x14ac:dyDescent="0.3">
      <c r="A5" t="s">
        <v>68</v>
      </c>
      <c r="B5" t="s">
        <v>61</v>
      </c>
      <c r="C5" t="s">
        <v>62</v>
      </c>
      <c r="D5">
        <v>0</v>
      </c>
      <c r="E5">
        <v>0</v>
      </c>
      <c r="F5">
        <v>0</v>
      </c>
    </row>
    <row r="6" spans="1:6" x14ac:dyDescent="0.3">
      <c r="A6" t="s">
        <v>69</v>
      </c>
      <c r="B6" t="s">
        <v>70</v>
      </c>
      <c r="C6" t="s">
        <v>71</v>
      </c>
      <c r="D6">
        <v>0</v>
      </c>
      <c r="E6">
        <v>0</v>
      </c>
      <c r="F6">
        <v>0</v>
      </c>
    </row>
    <row r="7" spans="1:6" x14ac:dyDescent="0.3">
      <c r="A7" t="s">
        <v>72</v>
      </c>
      <c r="B7" t="s">
        <v>61</v>
      </c>
      <c r="D7">
        <v>0</v>
      </c>
      <c r="E7">
        <v>0</v>
      </c>
      <c r="F7">
        <v>0</v>
      </c>
    </row>
    <row r="8" spans="1:6" x14ac:dyDescent="0.3">
      <c r="A8" t="s">
        <v>73</v>
      </c>
      <c r="B8" t="s">
        <v>61</v>
      </c>
      <c r="D8">
        <v>0</v>
      </c>
      <c r="E8">
        <v>0</v>
      </c>
      <c r="F8">
        <v>0</v>
      </c>
    </row>
    <row r="9" spans="1:6" x14ac:dyDescent="0.3">
      <c r="A9" t="s">
        <v>74</v>
      </c>
      <c r="B9" t="s">
        <v>61</v>
      </c>
      <c r="D9">
        <v>0</v>
      </c>
      <c r="E9">
        <v>0</v>
      </c>
      <c r="F9">
        <v>0</v>
      </c>
    </row>
    <row r="10" spans="1:6" x14ac:dyDescent="0.3">
      <c r="A10" t="s">
        <v>75</v>
      </c>
      <c r="B10" t="s">
        <v>61</v>
      </c>
      <c r="D10">
        <v>0</v>
      </c>
      <c r="E10">
        <v>0</v>
      </c>
      <c r="F10">
        <v>0</v>
      </c>
    </row>
    <row r="11" spans="1:6" x14ac:dyDescent="0.3">
      <c r="A11" t="s">
        <v>76</v>
      </c>
      <c r="B11" t="s">
        <v>61</v>
      </c>
      <c r="D11">
        <v>0</v>
      </c>
      <c r="E11">
        <v>0</v>
      </c>
      <c r="F11">
        <v>0</v>
      </c>
    </row>
    <row r="12" spans="1:6" x14ac:dyDescent="0.3">
      <c r="A12" t="s">
        <v>77</v>
      </c>
      <c r="B12" t="s">
        <v>61</v>
      </c>
      <c r="D12">
        <v>0</v>
      </c>
      <c r="E12">
        <v>0</v>
      </c>
      <c r="F12">
        <v>0</v>
      </c>
    </row>
    <row r="13" spans="1:6" x14ac:dyDescent="0.3">
      <c r="A13" t="s">
        <v>78</v>
      </c>
      <c r="B13" t="s">
        <v>61</v>
      </c>
      <c r="D13">
        <v>0</v>
      </c>
      <c r="E13">
        <v>0</v>
      </c>
      <c r="F13">
        <v>0</v>
      </c>
    </row>
    <row r="14" spans="1:6" x14ac:dyDescent="0.3">
      <c r="A14" t="s">
        <v>79</v>
      </c>
      <c r="B14" t="s">
        <v>61</v>
      </c>
      <c r="D14">
        <v>0</v>
      </c>
      <c r="E14">
        <v>0</v>
      </c>
      <c r="F14">
        <v>0</v>
      </c>
    </row>
    <row r="15" spans="1:6" x14ac:dyDescent="0.3">
      <c r="A15" t="s">
        <v>80</v>
      </c>
      <c r="B15" t="s">
        <v>81</v>
      </c>
      <c r="D15">
        <v>0</v>
      </c>
      <c r="E15">
        <v>0</v>
      </c>
      <c r="F15">
        <v>0</v>
      </c>
    </row>
    <row r="16" spans="1:6" x14ac:dyDescent="0.3">
      <c r="A16" t="s">
        <v>82</v>
      </c>
      <c r="B16" t="s">
        <v>81</v>
      </c>
      <c r="D16">
        <v>0</v>
      </c>
      <c r="E16">
        <v>0</v>
      </c>
      <c r="F16">
        <v>0</v>
      </c>
    </row>
    <row r="17" spans="1:6" x14ac:dyDescent="0.3">
      <c r="A17" t="s">
        <v>83</v>
      </c>
      <c r="B17" t="s">
        <v>81</v>
      </c>
      <c r="D17">
        <v>0</v>
      </c>
      <c r="E17">
        <v>0</v>
      </c>
      <c r="F17">
        <v>0</v>
      </c>
    </row>
    <row r="18" spans="1:6" x14ac:dyDescent="0.3">
      <c r="A18" t="s">
        <v>84</v>
      </c>
      <c r="B18" t="s">
        <v>81</v>
      </c>
      <c r="D18">
        <v>0</v>
      </c>
      <c r="E18">
        <v>0</v>
      </c>
      <c r="F18">
        <v>0</v>
      </c>
    </row>
    <row r="19" spans="1:6" x14ac:dyDescent="0.3">
      <c r="A19" t="s">
        <v>85</v>
      </c>
      <c r="B19" t="s">
        <v>81</v>
      </c>
      <c r="D19">
        <v>0</v>
      </c>
      <c r="E19">
        <v>0</v>
      </c>
      <c r="F19">
        <v>0</v>
      </c>
    </row>
    <row r="20" spans="1:6" x14ac:dyDescent="0.3">
      <c r="A20" t="s">
        <v>86</v>
      </c>
      <c r="B20" t="s">
        <v>81</v>
      </c>
      <c r="D20">
        <v>0</v>
      </c>
      <c r="E20">
        <v>0</v>
      </c>
      <c r="F20">
        <v>0</v>
      </c>
    </row>
    <row r="21" spans="1:6" x14ac:dyDescent="0.3">
      <c r="A21" t="s">
        <v>87</v>
      </c>
      <c r="B21" t="s">
        <v>88</v>
      </c>
      <c r="D21">
        <v>0</v>
      </c>
      <c r="E21">
        <v>0</v>
      </c>
      <c r="F21">
        <v>0</v>
      </c>
    </row>
    <row r="22" spans="1:6" x14ac:dyDescent="0.3">
      <c r="A22" t="s">
        <v>89</v>
      </c>
      <c r="B22" t="s">
        <v>88</v>
      </c>
      <c r="D22">
        <v>0</v>
      </c>
      <c r="E22">
        <v>0</v>
      </c>
      <c r="F22">
        <v>0</v>
      </c>
    </row>
    <row r="23" spans="1:6" x14ac:dyDescent="0.3">
      <c r="A23" t="s">
        <v>90</v>
      </c>
      <c r="B23" t="s">
        <v>88</v>
      </c>
      <c r="D23">
        <v>0</v>
      </c>
      <c r="E23">
        <v>0</v>
      </c>
      <c r="F23">
        <v>0</v>
      </c>
    </row>
    <row r="24" spans="1:6" x14ac:dyDescent="0.3">
      <c r="A24" t="s">
        <v>91</v>
      </c>
      <c r="B24" t="s">
        <v>88</v>
      </c>
      <c r="D24">
        <v>0</v>
      </c>
      <c r="E24">
        <v>0</v>
      </c>
      <c r="F24">
        <v>0</v>
      </c>
    </row>
    <row r="25" spans="1:6" x14ac:dyDescent="0.3">
      <c r="A25" t="s">
        <v>92</v>
      </c>
      <c r="B25" t="s">
        <v>88</v>
      </c>
      <c r="D25">
        <v>0</v>
      </c>
      <c r="E25">
        <v>0</v>
      </c>
      <c r="F25">
        <v>0</v>
      </c>
    </row>
    <row r="26" spans="1:6" x14ac:dyDescent="0.3">
      <c r="A26" t="s">
        <v>93</v>
      </c>
      <c r="B26" t="s">
        <v>88</v>
      </c>
      <c r="D26">
        <v>0</v>
      </c>
      <c r="E26">
        <v>0</v>
      </c>
      <c r="F26">
        <v>0</v>
      </c>
    </row>
    <row r="27" spans="1:6" x14ac:dyDescent="0.3">
      <c r="A27" t="s">
        <v>94</v>
      </c>
      <c r="B27" t="s">
        <v>66</v>
      </c>
      <c r="D27">
        <v>0</v>
      </c>
      <c r="E27">
        <v>0</v>
      </c>
      <c r="F27">
        <v>0</v>
      </c>
    </row>
    <row r="28" spans="1:6" x14ac:dyDescent="0.3">
      <c r="A28" t="s">
        <v>95</v>
      </c>
      <c r="B28" t="s">
        <v>66</v>
      </c>
      <c r="D28">
        <v>0</v>
      </c>
      <c r="E28">
        <v>0</v>
      </c>
      <c r="F28">
        <v>0</v>
      </c>
    </row>
    <row r="29" spans="1:6" x14ac:dyDescent="0.3">
      <c r="A29" t="s">
        <v>96</v>
      </c>
      <c r="B29" t="s">
        <v>97</v>
      </c>
      <c r="D29">
        <v>0</v>
      </c>
      <c r="E29">
        <v>0</v>
      </c>
      <c r="F29">
        <v>0</v>
      </c>
    </row>
    <row r="30" spans="1:6" x14ac:dyDescent="0.3">
      <c r="A30" t="s">
        <v>98</v>
      </c>
      <c r="B30" t="s">
        <v>97</v>
      </c>
      <c r="D30">
        <v>0</v>
      </c>
      <c r="E30">
        <v>0</v>
      </c>
      <c r="F30">
        <v>0</v>
      </c>
    </row>
    <row r="31" spans="1:6" x14ac:dyDescent="0.3">
      <c r="A31" t="s">
        <v>99</v>
      </c>
      <c r="B31" t="s">
        <v>97</v>
      </c>
      <c r="D31">
        <v>0</v>
      </c>
      <c r="E31">
        <v>0</v>
      </c>
      <c r="F31">
        <v>0</v>
      </c>
    </row>
    <row r="32" spans="1:6" x14ac:dyDescent="0.3">
      <c r="A32" t="s">
        <v>100</v>
      </c>
      <c r="B32" t="s">
        <v>97</v>
      </c>
      <c r="D32">
        <v>0</v>
      </c>
      <c r="E32">
        <v>0</v>
      </c>
      <c r="F32">
        <v>0</v>
      </c>
    </row>
    <row r="33" spans="1:6" x14ac:dyDescent="0.3">
      <c r="A33" t="s">
        <v>101</v>
      </c>
      <c r="B33" t="s">
        <v>97</v>
      </c>
      <c r="D33">
        <v>0</v>
      </c>
      <c r="E33">
        <v>0</v>
      </c>
      <c r="F33">
        <v>0</v>
      </c>
    </row>
    <row r="34" spans="1:6" x14ac:dyDescent="0.3">
      <c r="A34" t="s">
        <v>102</v>
      </c>
      <c r="B34" t="s">
        <v>103</v>
      </c>
      <c r="D34">
        <v>0</v>
      </c>
      <c r="E34">
        <v>0</v>
      </c>
      <c r="F34">
        <v>0</v>
      </c>
    </row>
    <row r="35" spans="1:6" x14ac:dyDescent="0.3">
      <c r="A35" t="s">
        <v>104</v>
      </c>
      <c r="B35" t="s">
        <v>103</v>
      </c>
      <c r="D35">
        <v>0</v>
      </c>
      <c r="E35">
        <v>0</v>
      </c>
      <c r="F35">
        <v>0</v>
      </c>
    </row>
    <row r="36" spans="1:6" x14ac:dyDescent="0.3">
      <c r="A36" t="s">
        <v>105</v>
      </c>
      <c r="B36" t="s">
        <v>103</v>
      </c>
      <c r="D36">
        <v>0</v>
      </c>
      <c r="E36">
        <v>0</v>
      </c>
      <c r="F36">
        <v>0</v>
      </c>
    </row>
    <row r="37" spans="1:6" x14ac:dyDescent="0.3">
      <c r="A37" t="s">
        <v>106</v>
      </c>
      <c r="B37" t="s">
        <v>103</v>
      </c>
      <c r="D37">
        <v>0</v>
      </c>
      <c r="E37">
        <v>0</v>
      </c>
      <c r="F37">
        <v>0</v>
      </c>
    </row>
    <row r="38" spans="1:6" x14ac:dyDescent="0.3">
      <c r="A38" t="s">
        <v>107</v>
      </c>
      <c r="B38" t="s">
        <v>108</v>
      </c>
      <c r="D38">
        <v>0</v>
      </c>
      <c r="E38">
        <v>0</v>
      </c>
      <c r="F38">
        <v>0</v>
      </c>
    </row>
    <row r="39" spans="1:6" x14ac:dyDescent="0.3">
      <c r="A39" t="s">
        <v>109</v>
      </c>
      <c r="B39" t="s">
        <v>108</v>
      </c>
      <c r="D39">
        <v>0</v>
      </c>
      <c r="E39">
        <v>0</v>
      </c>
      <c r="F39">
        <v>0</v>
      </c>
    </row>
    <row r="40" spans="1:6" x14ac:dyDescent="0.3">
      <c r="A40" t="s">
        <v>110</v>
      </c>
      <c r="B40" t="s">
        <v>108</v>
      </c>
      <c r="D40">
        <v>0</v>
      </c>
      <c r="E40">
        <v>0</v>
      </c>
      <c r="F40">
        <v>0</v>
      </c>
    </row>
    <row r="41" spans="1:6" x14ac:dyDescent="0.3">
      <c r="A41" t="s">
        <v>111</v>
      </c>
      <c r="B41" t="s">
        <v>108</v>
      </c>
      <c r="D41">
        <v>0</v>
      </c>
      <c r="E41">
        <v>0</v>
      </c>
      <c r="F41">
        <v>0</v>
      </c>
    </row>
    <row r="42" spans="1:6" x14ac:dyDescent="0.3">
      <c r="A42" t="s">
        <v>112</v>
      </c>
      <c r="B42" t="s">
        <v>113</v>
      </c>
      <c r="D42">
        <v>0</v>
      </c>
      <c r="E42">
        <v>0</v>
      </c>
      <c r="F42">
        <v>0</v>
      </c>
    </row>
    <row r="43" spans="1:6" x14ac:dyDescent="0.3">
      <c r="A43" t="s">
        <v>114</v>
      </c>
      <c r="B43" t="s">
        <v>113</v>
      </c>
      <c r="D43">
        <v>0</v>
      </c>
      <c r="E43">
        <v>0</v>
      </c>
      <c r="F43">
        <v>0</v>
      </c>
    </row>
    <row r="44" spans="1:6" x14ac:dyDescent="0.3">
      <c r="A44" t="s">
        <v>115</v>
      </c>
      <c r="B44" t="s">
        <v>113</v>
      </c>
      <c r="D44">
        <v>0</v>
      </c>
      <c r="E44">
        <v>0</v>
      </c>
      <c r="F44">
        <v>0</v>
      </c>
    </row>
    <row r="45" spans="1:6" x14ac:dyDescent="0.3">
      <c r="A45" t="s">
        <v>116</v>
      </c>
      <c r="B45" t="s">
        <v>70</v>
      </c>
      <c r="D45">
        <v>0</v>
      </c>
      <c r="E45">
        <v>0</v>
      </c>
      <c r="F45">
        <v>0</v>
      </c>
    </row>
    <row r="46" spans="1:6" x14ac:dyDescent="0.3">
      <c r="A46" t="s">
        <v>117</v>
      </c>
      <c r="B46" t="s">
        <v>70</v>
      </c>
      <c r="D46">
        <v>0</v>
      </c>
      <c r="E46">
        <v>0</v>
      </c>
      <c r="F46">
        <v>0</v>
      </c>
    </row>
    <row r="47" spans="1:6" x14ac:dyDescent="0.3">
      <c r="A47" t="s">
        <v>118</v>
      </c>
      <c r="B47" t="s">
        <v>70</v>
      </c>
      <c r="D47">
        <v>0</v>
      </c>
      <c r="E47">
        <v>0</v>
      </c>
      <c r="F47">
        <v>0</v>
      </c>
    </row>
    <row r="48" spans="1:6" x14ac:dyDescent="0.3">
      <c r="A48" t="s">
        <v>119</v>
      </c>
      <c r="B48" t="s">
        <v>63</v>
      </c>
      <c r="D48">
        <v>0</v>
      </c>
      <c r="E48">
        <v>0</v>
      </c>
      <c r="F48">
        <v>0</v>
      </c>
    </row>
    <row r="49" spans="1:6" x14ac:dyDescent="0.3">
      <c r="A49" t="s">
        <v>120</v>
      </c>
      <c r="B49" t="s">
        <v>63</v>
      </c>
      <c r="D49">
        <v>0</v>
      </c>
      <c r="E49">
        <v>0</v>
      </c>
      <c r="F49">
        <v>0</v>
      </c>
    </row>
    <row r="50" spans="1:6" x14ac:dyDescent="0.3">
      <c r="A50" t="s">
        <v>121</v>
      </c>
      <c r="B50" t="s">
        <v>63</v>
      </c>
      <c r="D50">
        <v>0</v>
      </c>
      <c r="E50">
        <v>0</v>
      </c>
      <c r="F50">
        <v>0</v>
      </c>
    </row>
    <row r="51" spans="1:6" x14ac:dyDescent="0.3">
      <c r="A51" t="s">
        <v>122</v>
      </c>
      <c r="B51" t="s">
        <v>63</v>
      </c>
      <c r="D51">
        <v>0</v>
      </c>
      <c r="E51">
        <v>0</v>
      </c>
      <c r="F51">
        <v>0</v>
      </c>
    </row>
    <row r="52" spans="1:6" x14ac:dyDescent="0.3">
      <c r="A52" t="s">
        <v>123</v>
      </c>
      <c r="B52" t="s">
        <v>63</v>
      </c>
      <c r="D52">
        <v>0</v>
      </c>
      <c r="E52">
        <v>0</v>
      </c>
      <c r="F5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/>
  </sheetViews>
  <sheetFormatPr defaultRowHeight="14.4" x14ac:dyDescent="0.3"/>
  <cols>
    <col min="1" max="1" width="12" customWidth="1"/>
    <col min="2" max="3" width="9" customWidth="1"/>
    <col min="4" max="4" width="12" customWidth="1"/>
    <col min="5" max="5" width="17" customWidth="1"/>
    <col min="6" max="6" width="25" customWidth="1"/>
  </cols>
  <sheetData>
    <row r="1" spans="1:6" s="1" customFormat="1" x14ac:dyDescent="0.3">
      <c r="A1" s="2" t="s">
        <v>124</v>
      </c>
      <c r="B1" s="2" t="s">
        <v>125</v>
      </c>
      <c r="C1" s="2" t="s">
        <v>126</v>
      </c>
      <c r="D1" s="2" t="s">
        <v>127</v>
      </c>
      <c r="E1" s="2" t="s">
        <v>128</v>
      </c>
      <c r="F1" s="2" t="s">
        <v>129</v>
      </c>
    </row>
    <row r="2" spans="1:6" x14ac:dyDescent="0.3">
      <c r="A2" s="2" t="s">
        <v>130</v>
      </c>
      <c r="B2" s="2" t="s">
        <v>131</v>
      </c>
      <c r="C2" s="2">
        <v>5000</v>
      </c>
      <c r="D2" s="2">
        <v>1000</v>
      </c>
      <c r="E2" s="2">
        <v>0.5</v>
      </c>
      <c r="F2" s="2"/>
    </row>
    <row r="3" spans="1:6" x14ac:dyDescent="0.3">
      <c r="A3" s="2" t="s">
        <v>132</v>
      </c>
      <c r="B3" s="2" t="s">
        <v>133</v>
      </c>
      <c r="C3" s="2">
        <v>20</v>
      </c>
      <c r="D3" s="2">
        <v>5</v>
      </c>
      <c r="E3" s="2">
        <v>300</v>
      </c>
      <c r="F3" s="2"/>
    </row>
    <row r="4" spans="1:6" x14ac:dyDescent="0.3">
      <c r="A4" s="2" t="s">
        <v>134</v>
      </c>
      <c r="B4" s="2" t="s">
        <v>135</v>
      </c>
      <c r="C4" s="2">
        <v>15</v>
      </c>
      <c r="D4" s="2">
        <v>3</v>
      </c>
      <c r="E4" s="2">
        <v>150</v>
      </c>
      <c r="F4" s="2"/>
    </row>
    <row r="5" spans="1:6" x14ac:dyDescent="0.3">
      <c r="A5" s="2" t="s">
        <v>136</v>
      </c>
      <c r="B5" s="2" t="s">
        <v>135</v>
      </c>
      <c r="C5" s="2">
        <v>8</v>
      </c>
      <c r="D5" s="2">
        <v>2</v>
      </c>
      <c r="E5" s="2">
        <v>800</v>
      </c>
      <c r="F5" s="2"/>
    </row>
    <row r="6" spans="1:6" x14ac:dyDescent="0.3">
      <c r="A6" s="2" t="s">
        <v>137</v>
      </c>
      <c r="B6" s="2" t="s">
        <v>135</v>
      </c>
      <c r="C6" s="2">
        <v>10</v>
      </c>
      <c r="D6" s="2">
        <v>2</v>
      </c>
      <c r="E6" s="2">
        <v>600</v>
      </c>
      <c r="F6" s="2"/>
    </row>
    <row r="7" spans="1:6" x14ac:dyDescent="0.3">
      <c r="A7" s="2" t="s">
        <v>138</v>
      </c>
      <c r="B7" s="2" t="s">
        <v>135</v>
      </c>
      <c r="C7" s="2">
        <v>12</v>
      </c>
      <c r="D7" s="2">
        <v>3</v>
      </c>
      <c r="E7" s="2">
        <v>200</v>
      </c>
      <c r="F7" s="2"/>
    </row>
    <row r="8" spans="1:6" x14ac:dyDescent="0.3">
      <c r="A8" s="2" t="s">
        <v>139</v>
      </c>
      <c r="B8" s="2" t="s">
        <v>135</v>
      </c>
      <c r="C8" s="2">
        <v>5</v>
      </c>
      <c r="D8" s="2">
        <v>1</v>
      </c>
      <c r="E8" s="2">
        <v>400</v>
      </c>
      <c r="F8" s="2"/>
    </row>
    <row r="9" spans="1:6" x14ac:dyDescent="0.3">
      <c r="A9" s="2" t="s">
        <v>140</v>
      </c>
      <c r="B9" s="2" t="s">
        <v>135</v>
      </c>
      <c r="C9" s="2">
        <v>4</v>
      </c>
      <c r="D9" s="2">
        <v>1</v>
      </c>
      <c r="E9" s="2">
        <v>350</v>
      </c>
      <c r="F9" s="2"/>
    </row>
    <row r="10" spans="1:6" x14ac:dyDescent="0.3">
      <c r="A10" s="2" t="s">
        <v>141</v>
      </c>
      <c r="B10" s="2" t="s">
        <v>131</v>
      </c>
      <c r="C10" s="2">
        <v>1000</v>
      </c>
      <c r="D10" s="2">
        <v>200</v>
      </c>
      <c r="E10" s="2">
        <v>0.3</v>
      </c>
      <c r="F10" s="2"/>
    </row>
    <row r="11" spans="1:6" x14ac:dyDescent="0.3">
      <c r="A11" s="2" t="s">
        <v>142</v>
      </c>
      <c r="B11" s="2" t="s">
        <v>133</v>
      </c>
      <c r="C11" s="2">
        <v>10</v>
      </c>
      <c r="D11" s="2">
        <v>2</v>
      </c>
      <c r="E11" s="2">
        <v>250</v>
      </c>
      <c r="F11" s="2"/>
    </row>
    <row r="12" spans="1:6" x14ac:dyDescent="0.3">
      <c r="A12" s="2" t="s">
        <v>143</v>
      </c>
      <c r="B12" s="2" t="s">
        <v>131</v>
      </c>
      <c r="C12" s="2">
        <v>3000</v>
      </c>
      <c r="D12" s="2">
        <v>500</v>
      </c>
      <c r="E12" s="2">
        <v>0.2</v>
      </c>
      <c r="F12" s="2"/>
    </row>
    <row r="13" spans="1:6" x14ac:dyDescent="0.3">
      <c r="A13" s="2" t="s">
        <v>144</v>
      </c>
      <c r="B13" s="2" t="s">
        <v>135</v>
      </c>
      <c r="C13" s="2">
        <v>8</v>
      </c>
      <c r="D13" s="2">
        <v>2</v>
      </c>
      <c r="E13" s="2">
        <v>120</v>
      </c>
      <c r="F13" s="2"/>
    </row>
    <row r="14" spans="1:6" x14ac:dyDescent="0.3">
      <c r="A14" t="s">
        <v>145</v>
      </c>
      <c r="B14" t="s">
        <v>135</v>
      </c>
      <c r="C14">
        <v>10</v>
      </c>
      <c r="D14">
        <v>2</v>
      </c>
      <c r="E14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/>
  </sheetViews>
  <sheetFormatPr defaultRowHeight="14.4" x14ac:dyDescent="0.3"/>
  <cols>
    <col min="1" max="1" width="17" customWidth="1"/>
    <col min="2" max="2" width="12" customWidth="1"/>
    <col min="3" max="3" width="18" customWidth="1"/>
    <col min="4" max="4" width="9" customWidth="1"/>
  </cols>
  <sheetData>
    <row r="1" spans="1:4" s="1" customFormat="1" x14ac:dyDescent="0.3">
      <c r="A1" s="2" t="s">
        <v>54</v>
      </c>
      <c r="B1" s="2" t="s">
        <v>124</v>
      </c>
      <c r="C1" s="2" t="s">
        <v>146</v>
      </c>
      <c r="D1" s="2" t="s">
        <v>125</v>
      </c>
    </row>
    <row r="2" spans="1:4" x14ac:dyDescent="0.3">
      <c r="A2" s="2" t="s">
        <v>60</v>
      </c>
      <c r="B2" s="2" t="s">
        <v>130</v>
      </c>
      <c r="C2" s="2">
        <v>10</v>
      </c>
      <c r="D2" s="2" t="s">
        <v>131</v>
      </c>
    </row>
    <row r="3" spans="1:4" x14ac:dyDescent="0.3">
      <c r="A3" s="2" t="s">
        <v>60</v>
      </c>
      <c r="B3" s="2" t="s">
        <v>132</v>
      </c>
      <c r="C3" s="2">
        <v>0.15</v>
      </c>
      <c r="D3" s="2" t="s">
        <v>133</v>
      </c>
    </row>
    <row r="4" spans="1:4" x14ac:dyDescent="0.3">
      <c r="A4" s="2" t="s">
        <v>60</v>
      </c>
      <c r="B4" s="2" t="s">
        <v>144</v>
      </c>
      <c r="C4" s="2">
        <v>5</v>
      </c>
      <c r="D4" s="2" t="s">
        <v>131</v>
      </c>
    </row>
    <row r="5" spans="1:4" x14ac:dyDescent="0.3">
      <c r="A5" s="2" t="s">
        <v>68</v>
      </c>
      <c r="B5" s="2" t="s">
        <v>130</v>
      </c>
      <c r="C5" s="2">
        <v>10</v>
      </c>
      <c r="D5" s="2" t="s">
        <v>131</v>
      </c>
    </row>
    <row r="6" spans="1:4" x14ac:dyDescent="0.3">
      <c r="A6" s="2" t="s">
        <v>68</v>
      </c>
      <c r="B6" s="2" t="s">
        <v>132</v>
      </c>
      <c r="C6" s="2">
        <v>0.2</v>
      </c>
      <c r="D6" s="2" t="s">
        <v>133</v>
      </c>
    </row>
    <row r="7" spans="1:4" x14ac:dyDescent="0.3">
      <c r="A7" s="2" t="s">
        <v>143</v>
      </c>
      <c r="B7" s="2" t="s">
        <v>143</v>
      </c>
      <c r="C7" s="2">
        <v>2</v>
      </c>
      <c r="D7" s="2" t="s">
        <v>131</v>
      </c>
    </row>
    <row r="8" spans="1:4" x14ac:dyDescent="0.3">
      <c r="A8" s="2" t="s">
        <v>143</v>
      </c>
      <c r="B8" s="2" t="s">
        <v>144</v>
      </c>
      <c r="C8" s="2">
        <v>5</v>
      </c>
      <c r="D8" s="2" t="s">
        <v>131</v>
      </c>
    </row>
    <row r="9" spans="1:4" x14ac:dyDescent="0.3">
      <c r="A9" s="2" t="s">
        <v>147</v>
      </c>
      <c r="B9" s="2" t="s">
        <v>134</v>
      </c>
      <c r="C9" s="2">
        <v>0.2</v>
      </c>
      <c r="D9" s="2" t="s">
        <v>135</v>
      </c>
    </row>
    <row r="10" spans="1:4" x14ac:dyDescent="0.3">
      <c r="A10" s="2" t="s">
        <v>147</v>
      </c>
      <c r="B10" s="2" t="s">
        <v>142</v>
      </c>
      <c r="C10" s="2">
        <v>0.05</v>
      </c>
      <c r="D10" s="2" t="s">
        <v>133</v>
      </c>
    </row>
    <row r="11" spans="1:4" x14ac:dyDescent="0.3">
      <c r="A11" s="2" t="s">
        <v>147</v>
      </c>
      <c r="B11" s="2" t="s">
        <v>136</v>
      </c>
      <c r="C11" s="2">
        <v>0.1</v>
      </c>
      <c r="D11" s="2" t="s">
        <v>135</v>
      </c>
    </row>
    <row r="12" spans="1:4" x14ac:dyDescent="0.3">
      <c r="A12" s="2" t="s">
        <v>65</v>
      </c>
      <c r="B12" s="2" t="s">
        <v>137</v>
      </c>
      <c r="C12" s="2">
        <v>0.15</v>
      </c>
      <c r="D12" s="2" t="s">
        <v>135</v>
      </c>
    </row>
    <row r="13" spans="1:4" x14ac:dyDescent="0.3">
      <c r="A13" s="2" t="s">
        <v>65</v>
      </c>
      <c r="B13" s="2" t="s">
        <v>138</v>
      </c>
      <c r="C13" s="2">
        <v>0.2</v>
      </c>
      <c r="D13" s="2" t="s">
        <v>135</v>
      </c>
    </row>
    <row r="14" spans="1:4" x14ac:dyDescent="0.3">
      <c r="A14" s="2" t="s">
        <v>148</v>
      </c>
      <c r="B14" s="2" t="s">
        <v>134</v>
      </c>
      <c r="C14" s="2">
        <v>0.1</v>
      </c>
      <c r="D14" s="2" t="s">
        <v>135</v>
      </c>
    </row>
    <row r="15" spans="1:4" x14ac:dyDescent="0.3">
      <c r="A15" s="2" t="s">
        <v>148</v>
      </c>
      <c r="B15" s="2" t="s">
        <v>141</v>
      </c>
      <c r="C15" s="2">
        <v>5</v>
      </c>
      <c r="D15" s="2" t="s">
        <v>131</v>
      </c>
    </row>
    <row r="16" spans="1:4" x14ac:dyDescent="0.3">
      <c r="A16" s="2" t="s">
        <v>69</v>
      </c>
      <c r="B16" s="2" t="s">
        <v>134</v>
      </c>
      <c r="C16" s="2">
        <v>0.05</v>
      </c>
      <c r="D16" s="2" t="s">
        <v>135</v>
      </c>
    </row>
    <row r="17" spans="1:4" x14ac:dyDescent="0.3">
      <c r="A17" s="2" t="s">
        <v>69</v>
      </c>
      <c r="B17" s="2" t="s">
        <v>140</v>
      </c>
      <c r="C17" s="2">
        <v>0.02</v>
      </c>
      <c r="D17" s="2" t="s">
        <v>135</v>
      </c>
    </row>
    <row r="18" spans="1:4" x14ac:dyDescent="0.3">
      <c r="A18" s="2" t="s">
        <v>39</v>
      </c>
      <c r="B18" s="2" t="s">
        <v>139</v>
      </c>
      <c r="C18" s="2">
        <v>0.05</v>
      </c>
      <c r="D18" s="2" t="s">
        <v>135</v>
      </c>
    </row>
    <row r="19" spans="1:4" x14ac:dyDescent="0.3">
      <c r="A19" s="2" t="s">
        <v>39</v>
      </c>
      <c r="B19" s="2" t="s">
        <v>136</v>
      </c>
      <c r="C19" s="2">
        <v>0.08</v>
      </c>
      <c r="D19" s="2" t="s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B19" sqref="B19"/>
    </sheetView>
  </sheetViews>
  <sheetFormatPr defaultRowHeight="14.4" x14ac:dyDescent="0.3"/>
  <cols>
    <col min="1" max="1" width="19" customWidth="1"/>
    <col min="2" max="2" width="30" customWidth="1"/>
    <col min="3" max="3" width="22" customWidth="1"/>
    <col min="4" max="4" width="18" customWidth="1"/>
  </cols>
  <sheetData>
    <row r="1" spans="1:4" x14ac:dyDescent="0.3">
      <c r="A1" t="s">
        <v>149</v>
      </c>
      <c r="B1" t="s">
        <v>150</v>
      </c>
      <c r="C1" t="s">
        <v>151</v>
      </c>
      <c r="D1" t="s">
        <v>152</v>
      </c>
    </row>
    <row r="2" spans="1:4" x14ac:dyDescent="0.3">
      <c r="A2" t="s">
        <v>153</v>
      </c>
      <c r="B2">
        <f>ЗАКАЗЫ!G8</f>
        <v>0</v>
      </c>
      <c r="C2">
        <f>SUM(ЗАКАЗЫ!G:G)/4*7</f>
        <v>0</v>
      </c>
      <c r="D2">
        <f>SUM(ЗАКАЗЫ!G:G)</f>
        <v>0</v>
      </c>
    </row>
    <row r="3" spans="1:4" x14ac:dyDescent="0.3">
      <c r="A3" t="s">
        <v>57</v>
      </c>
      <c r="B3" t="e">
        <f>SUMPRODUCT(ЗАКАЗЫ!G2:G100, МЕНЮ!C2:C100/МЕНЮ!D2:D100)</f>
        <v>#VALUE!</v>
      </c>
    </row>
    <row r="4" spans="1:4" x14ac:dyDescent="0.3">
      <c r="A4" t="s">
        <v>154</v>
      </c>
      <c r="B4" t="e">
        <f>B3/B2*100</f>
        <v>#VALUE!</v>
      </c>
      <c r="C4" t="e">
        <f>C3/C2*100</f>
        <v>#DIV/0!</v>
      </c>
      <c r="D4" t="e">
        <f>D3/D2*100</f>
        <v>#DIV/0!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/>
  </sheetViews>
  <sheetFormatPr defaultRowHeight="14.4" x14ac:dyDescent="0.3"/>
  <cols>
    <col min="1" max="1" width="25" customWidth="1"/>
    <col min="2" max="2" width="13" customWidth="1"/>
    <col min="3" max="3" width="14" customWidth="1"/>
  </cols>
  <sheetData>
    <row r="1" spans="1:3" x14ac:dyDescent="0.3">
      <c r="A1" t="s">
        <v>149</v>
      </c>
      <c r="B1" t="s">
        <v>7</v>
      </c>
      <c r="C1" t="s">
        <v>155</v>
      </c>
    </row>
    <row r="2" spans="1:3" x14ac:dyDescent="0.3">
      <c r="A2" s="2" t="s">
        <v>156</v>
      </c>
      <c r="B2" s="2">
        <f>ФУДКОСТ!B2</f>
        <v>0</v>
      </c>
      <c r="C2" s="2" t="s">
        <v>157</v>
      </c>
    </row>
    <row r="3" spans="1:3" x14ac:dyDescent="0.3">
      <c r="A3" s="2" t="s">
        <v>158</v>
      </c>
      <c r="B3" s="2" t="e">
        <f>ФУДКОСТ!B3</f>
        <v>#VALUE!</v>
      </c>
      <c r="C3" s="2" t="e">
        <f>B3/B2*100</f>
        <v>#VALUE!</v>
      </c>
    </row>
    <row r="4" spans="1:3" x14ac:dyDescent="0.3">
      <c r="A4" s="2" t="s">
        <v>159</v>
      </c>
      <c r="B4" s="2" t="e">
        <f>B2-B3</f>
        <v>#VALUE!</v>
      </c>
      <c r="C4" s="2" t="e">
        <f>B4/B2*100</f>
        <v>#VALUE!</v>
      </c>
    </row>
    <row r="5" spans="1:3" x14ac:dyDescent="0.3">
      <c r="A5" s="2"/>
      <c r="B5" s="2"/>
      <c r="C5" s="2"/>
    </row>
    <row r="6" spans="1:3" x14ac:dyDescent="0.3">
      <c r="A6" s="2" t="s">
        <v>160</v>
      </c>
      <c r="B6" s="2"/>
      <c r="C6" s="2"/>
    </row>
    <row r="7" spans="1:3" x14ac:dyDescent="0.3">
      <c r="A7" s="2" t="s">
        <v>161</v>
      </c>
      <c r="B7" s="2">
        <v>250000</v>
      </c>
      <c r="C7" s="2" t="e">
        <f>B6/B2*100</f>
        <v>#DIV/0!</v>
      </c>
    </row>
    <row r="8" spans="1:3" x14ac:dyDescent="0.3">
      <c r="A8" s="2" t="s">
        <v>162</v>
      </c>
      <c r="B8" s="2">
        <v>150000</v>
      </c>
      <c r="C8" s="2" t="e">
        <f>B7/B2*100</f>
        <v>#DIV/0!</v>
      </c>
    </row>
    <row r="9" spans="1:3" x14ac:dyDescent="0.3">
      <c r="A9" s="2" t="s">
        <v>163</v>
      </c>
      <c r="B9" s="2">
        <v>50000</v>
      </c>
      <c r="C9" s="2" t="e">
        <f>B8/B2*100</f>
        <v>#DIV/0!</v>
      </c>
    </row>
    <row r="10" spans="1:3" x14ac:dyDescent="0.3">
      <c r="A10" s="2" t="s">
        <v>164</v>
      </c>
      <c r="B10" s="2">
        <v>80000</v>
      </c>
      <c r="C10" s="2" t="e">
        <f>B9/B2*100</f>
        <v>#DIV/0!</v>
      </c>
    </row>
    <row r="11" spans="1:3" x14ac:dyDescent="0.3">
      <c r="A11" s="2" t="s">
        <v>165</v>
      </c>
      <c r="B11" s="2">
        <f>SUM(B6:B9)</f>
        <v>450000</v>
      </c>
      <c r="C11" s="2" t="e">
        <f>B10/B2*100</f>
        <v>#DIV/0!</v>
      </c>
    </row>
    <row r="12" spans="1:3" x14ac:dyDescent="0.3">
      <c r="A12" s="2"/>
      <c r="B12" s="2"/>
      <c r="C12" s="2"/>
    </row>
    <row r="13" spans="1:3" x14ac:dyDescent="0.3">
      <c r="A13" t="s">
        <v>166</v>
      </c>
      <c r="B13" t="e">
        <f>B2-B3-B10</f>
        <v>#VALUE!</v>
      </c>
      <c r="C13" t="e">
        <f>B12/B2*100</f>
        <v>#DIV/0!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/>
  </sheetViews>
  <sheetFormatPr defaultRowHeight="14.4" x14ac:dyDescent="0.3"/>
  <cols>
    <col min="1" max="1" width="10" customWidth="1"/>
    <col min="2" max="2" width="15" customWidth="1"/>
    <col min="3" max="3" width="13" customWidth="1"/>
    <col min="4" max="4" width="18" customWidth="1"/>
    <col min="5" max="5" width="30" customWidth="1"/>
  </cols>
  <sheetData>
    <row r="1" spans="1:5" s="1" customFormat="1" x14ac:dyDescent="0.3">
      <c r="A1" s="2" t="s">
        <v>54</v>
      </c>
      <c r="B1" s="2" t="s">
        <v>167</v>
      </c>
      <c r="C1" s="2" t="s">
        <v>153</v>
      </c>
      <c r="D1" s="2" t="s">
        <v>168</v>
      </c>
      <c r="E1" s="2" t="s">
        <v>55</v>
      </c>
    </row>
    <row r="2" spans="1:5" x14ac:dyDescent="0.3">
      <c r="A2" s="2" t="s">
        <v>88</v>
      </c>
      <c r="B2" s="2">
        <v>50</v>
      </c>
      <c r="C2" s="2">
        <v>27500</v>
      </c>
      <c r="D2" s="2">
        <f t="shared" ref="D2:D9" si="0">C2/SUM(C:C)*100</f>
        <v>23.440163654960791</v>
      </c>
      <c r="E2" s="2" t="str">
        <f t="shared" ref="E2:E9" si="1">IF(D2&gt;=40,"A",IF(D2&gt;=15,"B","C"))</f>
        <v>B</v>
      </c>
    </row>
    <row r="3" spans="1:5" x14ac:dyDescent="0.3">
      <c r="A3" s="2" t="s">
        <v>60</v>
      </c>
      <c r="B3" s="2">
        <v>40</v>
      </c>
      <c r="C3" s="2">
        <v>10000</v>
      </c>
      <c r="D3" s="2">
        <f t="shared" si="0"/>
        <v>8.5236958745311959</v>
      </c>
      <c r="E3" s="2" t="str">
        <f t="shared" si="1"/>
        <v>C</v>
      </c>
    </row>
    <row r="4" spans="1:5" x14ac:dyDescent="0.3">
      <c r="A4" s="2" t="s">
        <v>143</v>
      </c>
      <c r="B4" s="2">
        <v>35</v>
      </c>
      <c r="C4" s="2">
        <v>3500</v>
      </c>
      <c r="D4" s="2">
        <f t="shared" si="0"/>
        <v>2.9832935560859188</v>
      </c>
      <c r="E4" s="2" t="str">
        <f t="shared" si="1"/>
        <v>C</v>
      </c>
    </row>
    <row r="5" spans="1:5" x14ac:dyDescent="0.3">
      <c r="A5" s="2" t="s">
        <v>39</v>
      </c>
      <c r="B5" s="2">
        <v>20</v>
      </c>
      <c r="C5" s="2">
        <v>7000</v>
      </c>
      <c r="D5" s="2">
        <f t="shared" si="0"/>
        <v>5.9665871121718377</v>
      </c>
      <c r="E5" s="2" t="str">
        <f t="shared" si="1"/>
        <v>C</v>
      </c>
    </row>
    <row r="6" spans="1:5" x14ac:dyDescent="0.3">
      <c r="A6" s="2" t="s">
        <v>68</v>
      </c>
      <c r="B6" s="2">
        <v>15</v>
      </c>
      <c r="C6" s="2">
        <v>4500</v>
      </c>
      <c r="D6" s="2">
        <f t="shared" si="0"/>
        <v>3.8356631435390387</v>
      </c>
      <c r="E6" s="2" t="str">
        <f t="shared" si="1"/>
        <v>C</v>
      </c>
    </row>
    <row r="7" spans="1:5" x14ac:dyDescent="0.3">
      <c r="A7" s="2" t="s">
        <v>169</v>
      </c>
      <c r="B7" s="2">
        <v>12</v>
      </c>
      <c r="C7" s="2">
        <v>3360</v>
      </c>
      <c r="D7" s="2">
        <f t="shared" si="0"/>
        <v>2.8639618138424821</v>
      </c>
      <c r="E7" s="2" t="str">
        <f t="shared" si="1"/>
        <v>C</v>
      </c>
    </row>
    <row r="8" spans="1:5" x14ac:dyDescent="0.3">
      <c r="A8" s="2" t="s">
        <v>69</v>
      </c>
      <c r="B8" s="2">
        <v>10</v>
      </c>
      <c r="C8" s="2">
        <v>2000</v>
      </c>
      <c r="D8" s="2">
        <f t="shared" si="0"/>
        <v>1.7047391749062395</v>
      </c>
      <c r="E8" s="2" t="str">
        <f t="shared" si="1"/>
        <v>C</v>
      </c>
    </row>
    <row r="9" spans="1:5" x14ac:dyDescent="0.3">
      <c r="A9" s="2" t="s">
        <v>148</v>
      </c>
      <c r="B9" s="2">
        <v>8</v>
      </c>
      <c r="C9" s="2">
        <v>800</v>
      </c>
      <c r="D9" s="2">
        <f t="shared" si="0"/>
        <v>0.68189566996249573</v>
      </c>
      <c r="E9" s="2" t="str">
        <f t="shared" si="1"/>
        <v>C</v>
      </c>
    </row>
    <row r="10" spans="1:5" x14ac:dyDescent="0.3">
      <c r="A10" s="2" t="s">
        <v>170</v>
      </c>
      <c r="B10" s="2"/>
      <c r="C10" s="2">
        <f>SUM(C2:C9)</f>
        <v>58660</v>
      </c>
      <c r="D10" s="2"/>
      <c r="E10" s="2"/>
    </row>
    <row r="11" spans="1:5" x14ac:dyDescent="0.3">
      <c r="A11" s="2"/>
      <c r="B11" s="2"/>
      <c r="C11" s="2"/>
      <c r="D11" s="2"/>
      <c r="E11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1"/>
  <sheetViews>
    <sheetView tabSelected="1" workbookViewId="0"/>
  </sheetViews>
  <sheetFormatPr defaultRowHeight="14.4" x14ac:dyDescent="0.3"/>
  <sheetData>
    <row r="1" spans="1:1" x14ac:dyDescent="0.3">
      <c r="A1" t="s">
        <v>55</v>
      </c>
    </row>
    <row r="2" spans="1:1" x14ac:dyDescent="0.3">
      <c r="A2" t="s">
        <v>97</v>
      </c>
    </row>
    <row r="3" spans="1:1" x14ac:dyDescent="0.3">
      <c r="A3" t="s">
        <v>70</v>
      </c>
    </row>
    <row r="4" spans="1:1" x14ac:dyDescent="0.3">
      <c r="A4" t="s">
        <v>63</v>
      </c>
    </row>
    <row r="5" spans="1:1" x14ac:dyDescent="0.3">
      <c r="A5" t="s">
        <v>113</v>
      </c>
    </row>
    <row r="6" spans="1:1" x14ac:dyDescent="0.3">
      <c r="A6" t="s">
        <v>61</v>
      </c>
    </row>
    <row r="7" spans="1:1" x14ac:dyDescent="0.3">
      <c r="A7" t="s">
        <v>66</v>
      </c>
    </row>
    <row r="8" spans="1:1" x14ac:dyDescent="0.3">
      <c r="A8" t="s">
        <v>88</v>
      </c>
    </row>
    <row r="9" spans="1:1" x14ac:dyDescent="0.3">
      <c r="A9" t="s">
        <v>108</v>
      </c>
    </row>
    <row r="10" spans="1:1" x14ac:dyDescent="0.3">
      <c r="A10" t="s">
        <v>103</v>
      </c>
    </row>
    <row r="11" spans="1:1" x14ac:dyDescent="0.3">
      <c r="A11" t="s">
        <v>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2"/>
  <sheetViews>
    <sheetView topLeftCell="A34" workbookViewId="0">
      <selection activeCell="A53" sqref="A53:C54"/>
    </sheetView>
  </sheetViews>
  <sheetFormatPr defaultRowHeight="14.4" x14ac:dyDescent="0.3"/>
  <sheetData>
    <row r="1" spans="1:3" x14ac:dyDescent="0.3">
      <c r="A1" t="s">
        <v>171</v>
      </c>
      <c r="B1" t="s">
        <v>172</v>
      </c>
      <c r="C1" t="s">
        <v>54</v>
      </c>
    </row>
    <row r="2" spans="1:3" x14ac:dyDescent="0.3">
      <c r="A2" t="s">
        <v>61</v>
      </c>
      <c r="B2" t="s">
        <v>173</v>
      </c>
      <c r="C2" t="s">
        <v>60</v>
      </c>
    </row>
    <row r="3" spans="1:3" x14ac:dyDescent="0.3">
      <c r="A3" t="s">
        <v>61</v>
      </c>
      <c r="B3" t="s">
        <v>173</v>
      </c>
      <c r="C3" t="s">
        <v>68</v>
      </c>
    </row>
    <row r="4" spans="1:3" x14ac:dyDescent="0.3">
      <c r="A4" t="s">
        <v>61</v>
      </c>
      <c r="B4" t="s">
        <v>173</v>
      </c>
      <c r="C4" t="s">
        <v>72</v>
      </c>
    </row>
    <row r="5" spans="1:3" x14ac:dyDescent="0.3">
      <c r="A5" t="s">
        <v>61</v>
      </c>
      <c r="B5" t="s">
        <v>173</v>
      </c>
      <c r="C5" t="s">
        <v>73</v>
      </c>
    </row>
    <row r="6" spans="1:3" x14ac:dyDescent="0.3">
      <c r="A6" t="s">
        <v>61</v>
      </c>
      <c r="B6" t="s">
        <v>174</v>
      </c>
      <c r="C6" t="s">
        <v>74</v>
      </c>
    </row>
    <row r="7" spans="1:3" x14ac:dyDescent="0.3">
      <c r="A7" t="s">
        <v>61</v>
      </c>
      <c r="B7" t="s">
        <v>174</v>
      </c>
      <c r="C7" t="s">
        <v>75</v>
      </c>
    </row>
    <row r="8" spans="1:3" x14ac:dyDescent="0.3">
      <c r="A8" t="s">
        <v>61</v>
      </c>
      <c r="B8" t="s">
        <v>174</v>
      </c>
      <c r="C8" t="s">
        <v>76</v>
      </c>
    </row>
    <row r="9" spans="1:3" x14ac:dyDescent="0.3">
      <c r="A9" t="s">
        <v>61</v>
      </c>
      <c r="B9" t="s">
        <v>175</v>
      </c>
      <c r="C9" t="s">
        <v>77</v>
      </c>
    </row>
    <row r="10" spans="1:3" x14ac:dyDescent="0.3">
      <c r="A10" t="s">
        <v>61</v>
      </c>
      <c r="B10" t="s">
        <v>175</v>
      </c>
      <c r="C10" t="s">
        <v>78</v>
      </c>
    </row>
    <row r="11" spans="1:3" x14ac:dyDescent="0.3">
      <c r="A11" t="s">
        <v>61</v>
      </c>
      <c r="B11" t="s">
        <v>175</v>
      </c>
      <c r="C11" t="s">
        <v>79</v>
      </c>
    </row>
    <row r="12" spans="1:3" x14ac:dyDescent="0.3">
      <c r="A12" t="s">
        <v>81</v>
      </c>
      <c r="B12" t="s">
        <v>176</v>
      </c>
      <c r="C12" t="s">
        <v>80</v>
      </c>
    </row>
    <row r="13" spans="1:3" x14ac:dyDescent="0.3">
      <c r="A13" t="s">
        <v>81</v>
      </c>
      <c r="B13" t="s">
        <v>176</v>
      </c>
      <c r="C13" t="s">
        <v>82</v>
      </c>
    </row>
    <row r="14" spans="1:3" x14ac:dyDescent="0.3">
      <c r="A14" t="s">
        <v>81</v>
      </c>
      <c r="B14" t="s">
        <v>177</v>
      </c>
      <c r="C14" t="s">
        <v>83</v>
      </c>
    </row>
    <row r="15" spans="1:3" x14ac:dyDescent="0.3">
      <c r="A15" t="s">
        <v>81</v>
      </c>
      <c r="B15" t="s">
        <v>177</v>
      </c>
      <c r="C15" t="s">
        <v>84</v>
      </c>
    </row>
    <row r="16" spans="1:3" x14ac:dyDescent="0.3">
      <c r="A16" t="s">
        <v>81</v>
      </c>
      <c r="B16" t="s">
        <v>178</v>
      </c>
      <c r="C16" t="s">
        <v>85</v>
      </c>
    </row>
    <row r="17" spans="1:3" x14ac:dyDescent="0.3">
      <c r="A17" t="s">
        <v>81</v>
      </c>
      <c r="B17" t="s">
        <v>178</v>
      </c>
      <c r="C17" t="s">
        <v>86</v>
      </c>
    </row>
    <row r="18" spans="1:3" x14ac:dyDescent="0.3">
      <c r="A18" t="s">
        <v>88</v>
      </c>
      <c r="B18" t="s">
        <v>179</v>
      </c>
      <c r="C18" t="s">
        <v>87</v>
      </c>
    </row>
    <row r="19" spans="1:3" x14ac:dyDescent="0.3">
      <c r="A19" t="s">
        <v>88</v>
      </c>
      <c r="B19" t="s">
        <v>179</v>
      </c>
      <c r="C19" t="s">
        <v>89</v>
      </c>
    </row>
    <row r="20" spans="1:3" x14ac:dyDescent="0.3">
      <c r="A20" t="s">
        <v>88</v>
      </c>
      <c r="B20" t="s">
        <v>180</v>
      </c>
      <c r="C20" t="s">
        <v>90</v>
      </c>
    </row>
    <row r="21" spans="1:3" x14ac:dyDescent="0.3">
      <c r="A21" t="s">
        <v>88</v>
      </c>
      <c r="B21" t="s">
        <v>180</v>
      </c>
      <c r="C21" t="s">
        <v>91</v>
      </c>
    </row>
    <row r="22" spans="1:3" x14ac:dyDescent="0.3">
      <c r="A22" t="s">
        <v>88</v>
      </c>
      <c r="B22" t="s">
        <v>181</v>
      </c>
      <c r="C22" t="s">
        <v>92</v>
      </c>
    </row>
    <row r="23" spans="1:3" x14ac:dyDescent="0.3">
      <c r="A23" t="s">
        <v>88</v>
      </c>
      <c r="B23" t="s">
        <v>181</v>
      </c>
      <c r="C23" t="s">
        <v>93</v>
      </c>
    </row>
    <row r="24" spans="1:3" x14ac:dyDescent="0.3">
      <c r="A24" t="s">
        <v>66</v>
      </c>
      <c r="B24" t="s">
        <v>182</v>
      </c>
      <c r="C24" t="s">
        <v>65</v>
      </c>
    </row>
    <row r="25" spans="1:3" x14ac:dyDescent="0.3">
      <c r="A25" t="s">
        <v>66</v>
      </c>
      <c r="B25" t="s">
        <v>182</v>
      </c>
      <c r="C25" t="s">
        <v>94</v>
      </c>
    </row>
    <row r="26" spans="1:3" x14ac:dyDescent="0.3">
      <c r="A26" t="s">
        <v>66</v>
      </c>
      <c r="B26" t="s">
        <v>182</v>
      </c>
      <c r="C26" t="s">
        <v>95</v>
      </c>
    </row>
    <row r="27" spans="1:3" x14ac:dyDescent="0.3">
      <c r="A27" t="s">
        <v>97</v>
      </c>
      <c r="B27" t="s">
        <v>183</v>
      </c>
      <c r="C27" t="s">
        <v>96</v>
      </c>
    </row>
    <row r="28" spans="1:3" x14ac:dyDescent="0.3">
      <c r="A28" t="s">
        <v>97</v>
      </c>
      <c r="B28" t="s">
        <v>183</v>
      </c>
      <c r="C28" t="s">
        <v>98</v>
      </c>
    </row>
    <row r="29" spans="1:3" x14ac:dyDescent="0.3">
      <c r="A29" t="s">
        <v>97</v>
      </c>
      <c r="B29" t="s">
        <v>183</v>
      </c>
      <c r="C29" t="s">
        <v>99</v>
      </c>
    </row>
    <row r="30" spans="1:3" x14ac:dyDescent="0.3">
      <c r="A30" t="s">
        <v>97</v>
      </c>
      <c r="B30" t="s">
        <v>184</v>
      </c>
      <c r="C30" t="s">
        <v>100</v>
      </c>
    </row>
    <row r="31" spans="1:3" x14ac:dyDescent="0.3">
      <c r="A31" t="s">
        <v>97</v>
      </c>
      <c r="B31" t="s">
        <v>184</v>
      </c>
      <c r="C31" t="s">
        <v>101</v>
      </c>
    </row>
    <row r="32" spans="1:3" x14ac:dyDescent="0.3">
      <c r="A32" t="s">
        <v>103</v>
      </c>
      <c r="B32" t="s">
        <v>185</v>
      </c>
      <c r="C32" t="s">
        <v>102</v>
      </c>
    </row>
    <row r="33" spans="1:3" x14ac:dyDescent="0.3">
      <c r="A33" t="s">
        <v>103</v>
      </c>
      <c r="B33" t="s">
        <v>185</v>
      </c>
      <c r="C33" t="s">
        <v>104</v>
      </c>
    </row>
    <row r="34" spans="1:3" x14ac:dyDescent="0.3">
      <c r="A34" t="s">
        <v>103</v>
      </c>
      <c r="B34" t="s">
        <v>186</v>
      </c>
      <c r="C34" t="s">
        <v>105</v>
      </c>
    </row>
    <row r="35" spans="1:3" x14ac:dyDescent="0.3">
      <c r="A35" t="s">
        <v>103</v>
      </c>
      <c r="B35" t="s">
        <v>186</v>
      </c>
      <c r="C35" t="s">
        <v>106</v>
      </c>
    </row>
    <row r="36" spans="1:3" x14ac:dyDescent="0.3">
      <c r="A36" t="s">
        <v>108</v>
      </c>
      <c r="B36" t="s">
        <v>187</v>
      </c>
      <c r="C36" t="s">
        <v>107</v>
      </c>
    </row>
    <row r="37" spans="1:3" x14ac:dyDescent="0.3">
      <c r="A37" t="s">
        <v>108</v>
      </c>
      <c r="B37" t="s">
        <v>187</v>
      </c>
      <c r="C37" t="s">
        <v>109</v>
      </c>
    </row>
    <row r="38" spans="1:3" x14ac:dyDescent="0.3">
      <c r="A38" t="s">
        <v>108</v>
      </c>
      <c r="B38" t="s">
        <v>188</v>
      </c>
      <c r="C38" t="s">
        <v>110</v>
      </c>
    </row>
    <row r="39" spans="1:3" x14ac:dyDescent="0.3">
      <c r="A39" t="s">
        <v>108</v>
      </c>
      <c r="B39" t="s">
        <v>188</v>
      </c>
      <c r="C39" t="s">
        <v>111</v>
      </c>
    </row>
    <row r="40" spans="1:3" x14ac:dyDescent="0.3">
      <c r="A40" t="s">
        <v>113</v>
      </c>
      <c r="B40" t="s">
        <v>189</v>
      </c>
      <c r="C40" t="s">
        <v>112</v>
      </c>
    </row>
    <row r="41" spans="1:3" x14ac:dyDescent="0.3">
      <c r="A41" t="s">
        <v>113</v>
      </c>
      <c r="B41" t="s">
        <v>189</v>
      </c>
      <c r="C41" t="s">
        <v>114</v>
      </c>
    </row>
    <row r="42" spans="1:3" x14ac:dyDescent="0.3">
      <c r="A42" t="s">
        <v>113</v>
      </c>
      <c r="B42" t="s">
        <v>190</v>
      </c>
      <c r="C42" t="s">
        <v>115</v>
      </c>
    </row>
    <row r="43" spans="1:3" x14ac:dyDescent="0.3">
      <c r="A43" t="s">
        <v>70</v>
      </c>
      <c r="B43" t="s">
        <v>191</v>
      </c>
      <c r="C43" t="s">
        <v>69</v>
      </c>
    </row>
    <row r="44" spans="1:3" x14ac:dyDescent="0.3">
      <c r="A44" t="s">
        <v>70</v>
      </c>
      <c r="B44" t="s">
        <v>191</v>
      </c>
      <c r="C44" t="s">
        <v>116</v>
      </c>
    </row>
    <row r="45" spans="1:3" x14ac:dyDescent="0.3">
      <c r="A45" t="s">
        <v>70</v>
      </c>
      <c r="B45" t="s">
        <v>192</v>
      </c>
      <c r="C45" t="s">
        <v>117</v>
      </c>
    </row>
    <row r="46" spans="1:3" x14ac:dyDescent="0.3">
      <c r="A46" t="s">
        <v>70</v>
      </c>
      <c r="B46" t="s">
        <v>192</v>
      </c>
      <c r="C46" t="s">
        <v>118</v>
      </c>
    </row>
    <row r="47" spans="1:3" x14ac:dyDescent="0.3">
      <c r="A47" t="s">
        <v>63</v>
      </c>
      <c r="B47" t="s">
        <v>193</v>
      </c>
      <c r="C47" t="s">
        <v>39</v>
      </c>
    </row>
    <row r="48" spans="1:3" x14ac:dyDescent="0.3">
      <c r="A48" t="s">
        <v>63</v>
      </c>
      <c r="B48" t="s">
        <v>193</v>
      </c>
      <c r="C48" t="s">
        <v>119</v>
      </c>
    </row>
    <row r="49" spans="1:3" x14ac:dyDescent="0.3">
      <c r="A49" t="s">
        <v>63</v>
      </c>
      <c r="B49" t="s">
        <v>194</v>
      </c>
      <c r="C49" t="s">
        <v>120</v>
      </c>
    </row>
    <row r="50" spans="1:3" x14ac:dyDescent="0.3">
      <c r="A50" t="s">
        <v>63</v>
      </c>
      <c r="B50" t="s">
        <v>194</v>
      </c>
      <c r="C50" t="s">
        <v>121</v>
      </c>
    </row>
    <row r="51" spans="1:3" x14ac:dyDescent="0.3">
      <c r="A51" t="s">
        <v>63</v>
      </c>
      <c r="B51" t="s">
        <v>195</v>
      </c>
      <c r="C51" t="s">
        <v>122</v>
      </c>
    </row>
    <row r="52" spans="1:3" x14ac:dyDescent="0.3">
      <c r="A52" t="s">
        <v>63</v>
      </c>
      <c r="B52" t="s">
        <v>195</v>
      </c>
      <c r="C52" t="s">
        <v>123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2"/>
  <sheetViews>
    <sheetView topLeftCell="A43" workbookViewId="0">
      <selection activeCell="A54" sqref="A53:E54"/>
    </sheetView>
  </sheetViews>
  <sheetFormatPr defaultRowHeight="14.4" x14ac:dyDescent="0.3"/>
  <sheetData>
    <row r="1" spans="1:5" x14ac:dyDescent="0.3">
      <c r="A1" t="s">
        <v>171</v>
      </c>
      <c r="B1" t="s">
        <v>172</v>
      </c>
      <c r="C1" t="s">
        <v>54</v>
      </c>
      <c r="D1" t="s">
        <v>196</v>
      </c>
      <c r="E1" t="s">
        <v>57</v>
      </c>
    </row>
    <row r="2" spans="1:5" x14ac:dyDescent="0.3">
      <c r="A2" t="s">
        <v>61</v>
      </c>
      <c r="B2" t="s">
        <v>173</v>
      </c>
      <c r="C2" t="s">
        <v>60</v>
      </c>
      <c r="D2">
        <v>0</v>
      </c>
      <c r="E2">
        <v>0</v>
      </c>
    </row>
    <row r="3" spans="1:5" x14ac:dyDescent="0.3">
      <c r="A3" t="s">
        <v>61</v>
      </c>
      <c r="B3" t="s">
        <v>173</v>
      </c>
      <c r="C3" t="s">
        <v>68</v>
      </c>
      <c r="D3">
        <v>0</v>
      </c>
      <c r="E3">
        <v>0</v>
      </c>
    </row>
    <row r="4" spans="1:5" x14ac:dyDescent="0.3">
      <c r="A4" t="s">
        <v>61</v>
      </c>
      <c r="B4" t="s">
        <v>173</v>
      </c>
      <c r="C4" t="s">
        <v>72</v>
      </c>
      <c r="D4">
        <v>0</v>
      </c>
      <c r="E4">
        <v>0</v>
      </c>
    </row>
    <row r="5" spans="1:5" x14ac:dyDescent="0.3">
      <c r="A5" t="s">
        <v>61</v>
      </c>
      <c r="B5" t="s">
        <v>173</v>
      </c>
      <c r="C5" t="s">
        <v>73</v>
      </c>
      <c r="D5">
        <v>0</v>
      </c>
      <c r="E5">
        <v>0</v>
      </c>
    </row>
    <row r="6" spans="1:5" x14ac:dyDescent="0.3">
      <c r="A6" t="s">
        <v>61</v>
      </c>
      <c r="B6" t="s">
        <v>174</v>
      </c>
      <c r="C6" t="s">
        <v>74</v>
      </c>
      <c r="D6">
        <v>0</v>
      </c>
      <c r="E6">
        <v>0</v>
      </c>
    </row>
    <row r="7" spans="1:5" x14ac:dyDescent="0.3">
      <c r="A7" t="s">
        <v>61</v>
      </c>
      <c r="B7" t="s">
        <v>174</v>
      </c>
      <c r="C7" t="s">
        <v>75</v>
      </c>
      <c r="D7">
        <v>0</v>
      </c>
      <c r="E7">
        <v>0</v>
      </c>
    </row>
    <row r="8" spans="1:5" x14ac:dyDescent="0.3">
      <c r="A8" t="s">
        <v>61</v>
      </c>
      <c r="B8" t="s">
        <v>174</v>
      </c>
      <c r="C8" t="s">
        <v>76</v>
      </c>
      <c r="D8">
        <v>0</v>
      </c>
      <c r="E8">
        <v>0</v>
      </c>
    </row>
    <row r="9" spans="1:5" x14ac:dyDescent="0.3">
      <c r="A9" t="s">
        <v>61</v>
      </c>
      <c r="B9" t="s">
        <v>175</v>
      </c>
      <c r="C9" t="s">
        <v>77</v>
      </c>
      <c r="D9">
        <v>0</v>
      </c>
      <c r="E9">
        <v>0</v>
      </c>
    </row>
    <row r="10" spans="1:5" x14ac:dyDescent="0.3">
      <c r="A10" t="s">
        <v>61</v>
      </c>
      <c r="B10" t="s">
        <v>175</v>
      </c>
      <c r="C10" t="s">
        <v>78</v>
      </c>
      <c r="D10">
        <v>0</v>
      </c>
      <c r="E10">
        <v>0</v>
      </c>
    </row>
    <row r="11" spans="1:5" x14ac:dyDescent="0.3">
      <c r="A11" t="s">
        <v>61</v>
      </c>
      <c r="B11" t="s">
        <v>175</v>
      </c>
      <c r="C11" t="s">
        <v>79</v>
      </c>
      <c r="D11">
        <v>0</v>
      </c>
      <c r="E11">
        <v>0</v>
      </c>
    </row>
    <row r="12" spans="1:5" x14ac:dyDescent="0.3">
      <c r="A12" t="s">
        <v>81</v>
      </c>
      <c r="B12" t="s">
        <v>176</v>
      </c>
      <c r="C12" t="s">
        <v>80</v>
      </c>
      <c r="D12">
        <v>0</v>
      </c>
      <c r="E12">
        <v>0</v>
      </c>
    </row>
    <row r="13" spans="1:5" x14ac:dyDescent="0.3">
      <c r="A13" t="s">
        <v>81</v>
      </c>
      <c r="B13" t="s">
        <v>176</v>
      </c>
      <c r="C13" t="s">
        <v>82</v>
      </c>
      <c r="D13">
        <v>0</v>
      </c>
      <c r="E13">
        <v>0</v>
      </c>
    </row>
    <row r="14" spans="1:5" x14ac:dyDescent="0.3">
      <c r="A14" t="s">
        <v>81</v>
      </c>
      <c r="B14" t="s">
        <v>177</v>
      </c>
      <c r="C14" t="s">
        <v>83</v>
      </c>
      <c r="D14">
        <v>0</v>
      </c>
      <c r="E14">
        <v>0</v>
      </c>
    </row>
    <row r="15" spans="1:5" x14ac:dyDescent="0.3">
      <c r="A15" t="s">
        <v>81</v>
      </c>
      <c r="B15" t="s">
        <v>177</v>
      </c>
      <c r="C15" t="s">
        <v>84</v>
      </c>
      <c r="D15">
        <v>0</v>
      </c>
      <c r="E15">
        <v>0</v>
      </c>
    </row>
    <row r="16" spans="1:5" x14ac:dyDescent="0.3">
      <c r="A16" t="s">
        <v>81</v>
      </c>
      <c r="B16" t="s">
        <v>178</v>
      </c>
      <c r="C16" t="s">
        <v>85</v>
      </c>
      <c r="D16">
        <v>0</v>
      </c>
      <c r="E16">
        <v>0</v>
      </c>
    </row>
    <row r="17" spans="1:5" x14ac:dyDescent="0.3">
      <c r="A17" t="s">
        <v>81</v>
      </c>
      <c r="B17" t="s">
        <v>178</v>
      </c>
      <c r="C17" t="s">
        <v>86</v>
      </c>
      <c r="D17">
        <v>0</v>
      </c>
      <c r="E17">
        <v>0</v>
      </c>
    </row>
    <row r="18" spans="1:5" x14ac:dyDescent="0.3">
      <c r="A18" t="s">
        <v>88</v>
      </c>
      <c r="B18" t="s">
        <v>179</v>
      </c>
      <c r="C18" t="s">
        <v>87</v>
      </c>
      <c r="D18">
        <v>0</v>
      </c>
      <c r="E18">
        <v>0</v>
      </c>
    </row>
    <row r="19" spans="1:5" x14ac:dyDescent="0.3">
      <c r="A19" t="s">
        <v>88</v>
      </c>
      <c r="B19" t="s">
        <v>179</v>
      </c>
      <c r="C19" t="s">
        <v>89</v>
      </c>
      <c r="D19">
        <v>0</v>
      </c>
      <c r="E19">
        <v>0</v>
      </c>
    </row>
    <row r="20" spans="1:5" x14ac:dyDescent="0.3">
      <c r="A20" t="s">
        <v>88</v>
      </c>
      <c r="B20" t="s">
        <v>180</v>
      </c>
      <c r="C20" t="s">
        <v>90</v>
      </c>
      <c r="D20">
        <v>0</v>
      </c>
      <c r="E20">
        <v>0</v>
      </c>
    </row>
    <row r="21" spans="1:5" x14ac:dyDescent="0.3">
      <c r="A21" t="s">
        <v>88</v>
      </c>
      <c r="B21" t="s">
        <v>180</v>
      </c>
      <c r="C21" t="s">
        <v>91</v>
      </c>
      <c r="D21">
        <v>0</v>
      </c>
      <c r="E21">
        <v>0</v>
      </c>
    </row>
    <row r="22" spans="1:5" x14ac:dyDescent="0.3">
      <c r="A22" t="s">
        <v>88</v>
      </c>
      <c r="B22" t="s">
        <v>181</v>
      </c>
      <c r="C22" t="s">
        <v>92</v>
      </c>
      <c r="D22">
        <v>0</v>
      </c>
      <c r="E22">
        <v>0</v>
      </c>
    </row>
    <row r="23" spans="1:5" x14ac:dyDescent="0.3">
      <c r="A23" t="s">
        <v>88</v>
      </c>
      <c r="B23" t="s">
        <v>181</v>
      </c>
      <c r="C23" t="s">
        <v>93</v>
      </c>
      <c r="D23">
        <v>0</v>
      </c>
      <c r="E23">
        <v>0</v>
      </c>
    </row>
    <row r="24" spans="1:5" x14ac:dyDescent="0.3">
      <c r="A24" t="s">
        <v>66</v>
      </c>
      <c r="B24" t="s">
        <v>182</v>
      </c>
      <c r="C24" t="s">
        <v>65</v>
      </c>
      <c r="D24">
        <v>0</v>
      </c>
      <c r="E24">
        <v>0</v>
      </c>
    </row>
    <row r="25" spans="1:5" x14ac:dyDescent="0.3">
      <c r="A25" t="s">
        <v>66</v>
      </c>
      <c r="B25" t="s">
        <v>182</v>
      </c>
      <c r="C25" t="s">
        <v>94</v>
      </c>
      <c r="D25">
        <v>0</v>
      </c>
      <c r="E25">
        <v>0</v>
      </c>
    </row>
    <row r="26" spans="1:5" x14ac:dyDescent="0.3">
      <c r="A26" t="s">
        <v>66</v>
      </c>
      <c r="B26" t="s">
        <v>182</v>
      </c>
      <c r="C26" t="s">
        <v>95</v>
      </c>
      <c r="D26">
        <v>0</v>
      </c>
      <c r="E26">
        <v>0</v>
      </c>
    </row>
    <row r="27" spans="1:5" x14ac:dyDescent="0.3">
      <c r="A27" t="s">
        <v>97</v>
      </c>
      <c r="B27" t="s">
        <v>183</v>
      </c>
      <c r="C27" t="s">
        <v>96</v>
      </c>
      <c r="D27">
        <v>0</v>
      </c>
      <c r="E27">
        <v>0</v>
      </c>
    </row>
    <row r="28" spans="1:5" x14ac:dyDescent="0.3">
      <c r="A28" t="s">
        <v>97</v>
      </c>
      <c r="B28" t="s">
        <v>183</v>
      </c>
      <c r="C28" t="s">
        <v>98</v>
      </c>
      <c r="D28">
        <v>0</v>
      </c>
      <c r="E28">
        <v>0</v>
      </c>
    </row>
    <row r="29" spans="1:5" x14ac:dyDescent="0.3">
      <c r="A29" t="s">
        <v>97</v>
      </c>
      <c r="B29" t="s">
        <v>183</v>
      </c>
      <c r="C29" t="s">
        <v>99</v>
      </c>
      <c r="D29">
        <v>0</v>
      </c>
      <c r="E29">
        <v>0</v>
      </c>
    </row>
    <row r="30" spans="1:5" x14ac:dyDescent="0.3">
      <c r="A30" t="s">
        <v>97</v>
      </c>
      <c r="B30" t="s">
        <v>184</v>
      </c>
      <c r="C30" t="s">
        <v>100</v>
      </c>
      <c r="D30">
        <v>0</v>
      </c>
      <c r="E30">
        <v>0</v>
      </c>
    </row>
    <row r="31" spans="1:5" x14ac:dyDescent="0.3">
      <c r="A31" t="s">
        <v>97</v>
      </c>
      <c r="B31" t="s">
        <v>184</v>
      </c>
      <c r="C31" t="s">
        <v>101</v>
      </c>
      <c r="D31">
        <v>0</v>
      </c>
      <c r="E31">
        <v>0</v>
      </c>
    </row>
    <row r="32" spans="1:5" x14ac:dyDescent="0.3">
      <c r="A32" t="s">
        <v>103</v>
      </c>
      <c r="B32" t="s">
        <v>185</v>
      </c>
      <c r="C32" t="s">
        <v>102</v>
      </c>
      <c r="D32">
        <v>0</v>
      </c>
      <c r="E32">
        <v>0</v>
      </c>
    </row>
    <row r="33" spans="1:5" x14ac:dyDescent="0.3">
      <c r="A33" t="s">
        <v>103</v>
      </c>
      <c r="B33" t="s">
        <v>185</v>
      </c>
      <c r="C33" t="s">
        <v>104</v>
      </c>
      <c r="D33">
        <v>0</v>
      </c>
      <c r="E33">
        <v>0</v>
      </c>
    </row>
    <row r="34" spans="1:5" x14ac:dyDescent="0.3">
      <c r="A34" t="s">
        <v>103</v>
      </c>
      <c r="B34" t="s">
        <v>186</v>
      </c>
      <c r="C34" t="s">
        <v>105</v>
      </c>
      <c r="D34">
        <v>0</v>
      </c>
      <c r="E34">
        <v>0</v>
      </c>
    </row>
    <row r="35" spans="1:5" x14ac:dyDescent="0.3">
      <c r="A35" t="s">
        <v>103</v>
      </c>
      <c r="B35" t="s">
        <v>186</v>
      </c>
      <c r="C35" t="s">
        <v>106</v>
      </c>
      <c r="D35">
        <v>0</v>
      </c>
      <c r="E35">
        <v>0</v>
      </c>
    </row>
    <row r="36" spans="1:5" x14ac:dyDescent="0.3">
      <c r="A36" t="s">
        <v>108</v>
      </c>
      <c r="B36" t="s">
        <v>187</v>
      </c>
      <c r="C36" t="s">
        <v>107</v>
      </c>
      <c r="D36">
        <v>0</v>
      </c>
      <c r="E36">
        <v>0</v>
      </c>
    </row>
    <row r="37" spans="1:5" x14ac:dyDescent="0.3">
      <c r="A37" t="s">
        <v>108</v>
      </c>
      <c r="B37" t="s">
        <v>187</v>
      </c>
      <c r="C37" t="s">
        <v>109</v>
      </c>
      <c r="D37">
        <v>0</v>
      </c>
      <c r="E37">
        <v>0</v>
      </c>
    </row>
    <row r="38" spans="1:5" x14ac:dyDescent="0.3">
      <c r="A38" t="s">
        <v>108</v>
      </c>
      <c r="B38" t="s">
        <v>188</v>
      </c>
      <c r="C38" t="s">
        <v>110</v>
      </c>
      <c r="D38">
        <v>0</v>
      </c>
      <c r="E38">
        <v>0</v>
      </c>
    </row>
    <row r="39" spans="1:5" x14ac:dyDescent="0.3">
      <c r="A39" t="s">
        <v>108</v>
      </c>
      <c r="B39" t="s">
        <v>188</v>
      </c>
      <c r="C39" t="s">
        <v>111</v>
      </c>
      <c r="D39">
        <v>0</v>
      </c>
      <c r="E39">
        <v>0</v>
      </c>
    </row>
    <row r="40" spans="1:5" x14ac:dyDescent="0.3">
      <c r="A40" t="s">
        <v>113</v>
      </c>
      <c r="B40" t="s">
        <v>189</v>
      </c>
      <c r="C40" t="s">
        <v>112</v>
      </c>
      <c r="D40">
        <v>0</v>
      </c>
      <c r="E40">
        <v>0</v>
      </c>
    </row>
    <row r="41" spans="1:5" x14ac:dyDescent="0.3">
      <c r="A41" t="s">
        <v>113</v>
      </c>
      <c r="B41" t="s">
        <v>189</v>
      </c>
      <c r="C41" t="s">
        <v>114</v>
      </c>
      <c r="D41">
        <v>0</v>
      </c>
      <c r="E41">
        <v>0</v>
      </c>
    </row>
    <row r="42" spans="1:5" x14ac:dyDescent="0.3">
      <c r="A42" t="s">
        <v>113</v>
      </c>
      <c r="B42" t="s">
        <v>190</v>
      </c>
      <c r="C42" t="s">
        <v>115</v>
      </c>
      <c r="D42">
        <v>0</v>
      </c>
      <c r="E42">
        <v>0</v>
      </c>
    </row>
    <row r="43" spans="1:5" x14ac:dyDescent="0.3">
      <c r="A43" t="s">
        <v>70</v>
      </c>
      <c r="B43" t="s">
        <v>191</v>
      </c>
      <c r="C43" t="s">
        <v>69</v>
      </c>
      <c r="D43">
        <v>0</v>
      </c>
      <c r="E43">
        <v>0</v>
      </c>
    </row>
    <row r="44" spans="1:5" x14ac:dyDescent="0.3">
      <c r="A44" t="s">
        <v>70</v>
      </c>
      <c r="B44" t="s">
        <v>191</v>
      </c>
      <c r="C44" t="s">
        <v>116</v>
      </c>
      <c r="D44">
        <v>0</v>
      </c>
      <c r="E44">
        <v>0</v>
      </c>
    </row>
    <row r="45" spans="1:5" x14ac:dyDescent="0.3">
      <c r="A45" t="s">
        <v>70</v>
      </c>
      <c r="B45" t="s">
        <v>192</v>
      </c>
      <c r="C45" t="s">
        <v>117</v>
      </c>
      <c r="D45">
        <v>0</v>
      </c>
      <c r="E45">
        <v>0</v>
      </c>
    </row>
    <row r="46" spans="1:5" x14ac:dyDescent="0.3">
      <c r="A46" t="s">
        <v>70</v>
      </c>
      <c r="B46" t="s">
        <v>192</v>
      </c>
      <c r="C46" t="s">
        <v>118</v>
      </c>
      <c r="D46">
        <v>0</v>
      </c>
      <c r="E46">
        <v>0</v>
      </c>
    </row>
    <row r="47" spans="1:5" x14ac:dyDescent="0.3">
      <c r="A47" t="s">
        <v>63</v>
      </c>
      <c r="B47" t="s">
        <v>193</v>
      </c>
      <c r="C47" t="s">
        <v>39</v>
      </c>
      <c r="D47">
        <v>0</v>
      </c>
      <c r="E47">
        <v>0</v>
      </c>
    </row>
    <row r="48" spans="1:5" x14ac:dyDescent="0.3">
      <c r="A48" t="s">
        <v>63</v>
      </c>
      <c r="B48" t="s">
        <v>193</v>
      </c>
      <c r="C48" t="s">
        <v>119</v>
      </c>
      <c r="D48">
        <v>0</v>
      </c>
      <c r="E48">
        <v>0</v>
      </c>
    </row>
    <row r="49" spans="1:5" x14ac:dyDescent="0.3">
      <c r="A49" t="s">
        <v>63</v>
      </c>
      <c r="B49" t="s">
        <v>194</v>
      </c>
      <c r="C49" t="s">
        <v>120</v>
      </c>
      <c r="D49">
        <v>0</v>
      </c>
      <c r="E49">
        <v>0</v>
      </c>
    </row>
    <row r="50" spans="1:5" x14ac:dyDescent="0.3">
      <c r="A50" t="s">
        <v>63</v>
      </c>
      <c r="B50" t="s">
        <v>194</v>
      </c>
      <c r="C50" t="s">
        <v>121</v>
      </c>
      <c r="D50">
        <v>0</v>
      </c>
      <c r="E50">
        <v>0</v>
      </c>
    </row>
    <row r="51" spans="1:5" x14ac:dyDescent="0.3">
      <c r="A51" t="s">
        <v>63</v>
      </c>
      <c r="B51" t="s">
        <v>195</v>
      </c>
      <c r="C51" t="s">
        <v>122</v>
      </c>
      <c r="D51">
        <v>0</v>
      </c>
      <c r="E51">
        <v>0</v>
      </c>
    </row>
    <row r="52" spans="1:5" x14ac:dyDescent="0.3">
      <c r="A52" t="s">
        <v>63</v>
      </c>
      <c r="B52" t="s">
        <v>195</v>
      </c>
      <c r="C52" t="s">
        <v>123</v>
      </c>
      <c r="D52">
        <v>0</v>
      </c>
      <c r="E5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</row>
    <row r="2" spans="1:7" x14ac:dyDescent="0.3">
      <c r="A2">
        <v>3</v>
      </c>
      <c r="B2" t="s">
        <v>46</v>
      </c>
      <c r="C2" t="s">
        <v>203</v>
      </c>
      <c r="D2" t="s">
        <v>204</v>
      </c>
      <c r="E2">
        <v>0</v>
      </c>
      <c r="F2" t="s">
        <v>205</v>
      </c>
      <c r="G2" t="s">
        <v>13</v>
      </c>
    </row>
    <row r="3" spans="1:7" x14ac:dyDescent="0.3">
      <c r="A3">
        <v>4</v>
      </c>
      <c r="B3" t="s">
        <v>52</v>
      </c>
      <c r="C3" t="s">
        <v>5</v>
      </c>
      <c r="E3">
        <v>7777</v>
      </c>
      <c r="F3" t="s">
        <v>205</v>
      </c>
      <c r="G3" t="s">
        <v>13</v>
      </c>
    </row>
    <row r="4" spans="1:7" x14ac:dyDescent="0.3">
      <c r="A4">
        <v>5</v>
      </c>
      <c r="B4" t="s">
        <v>206</v>
      </c>
      <c r="C4" t="s">
        <v>203</v>
      </c>
      <c r="E4">
        <v>1988</v>
      </c>
      <c r="F4" t="s">
        <v>205</v>
      </c>
      <c r="G4" t="s">
        <v>207</v>
      </c>
    </row>
    <row r="5" spans="1:7" x14ac:dyDescent="0.3">
      <c r="A5">
        <v>6</v>
      </c>
      <c r="B5" t="s">
        <v>206</v>
      </c>
      <c r="C5" t="s">
        <v>203</v>
      </c>
      <c r="E5">
        <v>1988</v>
      </c>
      <c r="F5" t="s">
        <v>205</v>
      </c>
      <c r="G5" t="s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ЗАКАЗЫ</vt:lpstr>
      <vt:lpstr>МЕНЮ</vt:lpstr>
      <vt:lpstr>ИНГРЕДИЕНТЫ</vt:lpstr>
      <vt:lpstr>РЕЦЕПТЫ</vt:lpstr>
      <vt:lpstr>ФУДКОСТ</vt:lpstr>
      <vt:lpstr>P&amp;L</vt:lpstr>
      <vt:lpstr>ABC_АНАЛИЗ</vt:lpstr>
      <vt:lpstr>КАТЕГОРИИ</vt:lpstr>
      <vt:lpstr>ПОДКАТЕГОРИИ</vt:lpstr>
      <vt:lpstr>КАТЕГОРИИ_ПОЛНАЯ</vt:lpstr>
      <vt:lpstr>ПЕРСОНАЛ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Sair3n</cp:lastModifiedBy>
  <dcterms:created xsi:type="dcterms:W3CDTF">2026-06-10T08:38:55Z</dcterms:created>
  <dcterms:modified xsi:type="dcterms:W3CDTF">2026-06-12T12:31:41Z</dcterms:modified>
</cp:coreProperties>
</file>